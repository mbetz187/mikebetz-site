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rache\Desktop\budget\"/>
    </mc:Choice>
  </mc:AlternateContent>
  <xr:revisionPtr revIDLastSave="0" documentId="13_ncr:1_{8E0B33E6-F261-4A74-97BD-653AB9F785C1}" xr6:coauthVersionLast="47" xr6:coauthVersionMax="47" xr10:uidLastSave="{00000000-0000-0000-0000-000000000000}"/>
  <bookViews>
    <workbookView xWindow="38280" yWindow="-120" windowWidth="38640" windowHeight="21240" tabRatio="500" xr2:uid="{00000000-000D-0000-FFFF-FFFF00000000}"/>
  </bookViews>
  <sheets>
    <sheet name="Register" sheetId="1" r:id="rId1"/>
    <sheet name="Settings" sheetId="2" r:id="rId2"/>
    <sheet name="Help" sheetId="3" r:id="rId3"/>
    <sheet name="Child Tax Credits" sheetId="5" r:id="rId4"/>
    <sheet name="©" sheetId="4" r:id="rId5"/>
  </sheets>
  <definedNames>
    <definedName name="_xlnm._FilterDatabase" localSheetId="0">Register!$A$14:$H$16</definedName>
    <definedName name="categoryList">OFFSET(Settings!$A$1,1,0,SUMPRODUCT(MAX((Settings!$A:$A&lt;&gt;"")*(ROW(Settings!$A:$A)))),1)</definedName>
    <definedName name="dateList">OFFSET(Settings!$E$1,1,0,SUMPRODUCT(MAX((Settings!$E:$E&lt;&gt;"")*(ROW(Settings!$E:$E)))),1)</definedName>
    <definedName name="numList">OFFSET(Register!#REF!,1,0,SUMPRODUCT(MAX((Register!#REF!&lt;&gt;"")*(ROW(Register!#REF!)))),1)</definedName>
    <definedName name="payeeList">OFFSET(Settings!$C$1,1,0,SUMPRODUCT(MAX((Settings!$C:$C&lt;&gt;"")*(ROW(Settings!$C:$C)))),1)</definedName>
    <definedName name="_xlnm.Print_Area" localSheetId="2">Help!$A$1:$C$42</definedName>
    <definedName name="_xlnm.Print_Area" localSheetId="0">Register!$A:$H</definedName>
    <definedName name="_xlnm.Print_Titles" localSheetId="0">Register!$14:$14</definedName>
    <definedName name="Print_Titles_0" localSheetId="0">Register!$14:$14</definedName>
    <definedName name="reconcileList">OFFSET(Settings!$G$1,1,0,SUMPRODUCT(MAX((Settings!$G:$G&lt;&gt;"")*(ROW(Settings!$G:$G)))),1)</definedName>
    <definedName name="valuevx">42.314159</definedName>
  </definedNames>
  <calcPr calcId="181029"/>
  <extLst>
    <ext xmlns:loext="http://schemas.libreoffice.org/" uri="{7626C862-2A13-11E5-B345-FEFF819CDC9F}">
      <loext:extCalcPr stringRefSyntax="ExcelA1"/>
    </ext>
  </extLst>
</workbook>
</file>

<file path=xl/calcChain.xml><?xml version="1.0" encoding="utf-8"?>
<calcChain xmlns="http://schemas.openxmlformats.org/spreadsheetml/2006/main">
  <c r="H1096" i="1" l="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C16" i="1" l="1"/>
  <c r="H16" i="1"/>
  <c r="F6" i="5"/>
  <c r="E3" i="2"/>
  <c r="E4" i="2" s="1"/>
  <c r="E5" i="2" s="1"/>
  <c r="E6" i="2" s="1"/>
  <c r="E7" i="2" s="1"/>
  <c r="E8" i="2" s="1"/>
  <c r="E9" i="2" s="1"/>
  <c r="E10" i="2" s="1"/>
  <c r="E11" i="2" s="1"/>
  <c r="E12" i="2" s="1"/>
  <c r="E13" i="2" s="1"/>
  <c r="E14" i="2" s="1"/>
  <c r="E15" i="2" s="1"/>
  <c r="E16" i="2" s="1"/>
  <c r="E17" i="2" s="1"/>
  <c r="H1242" i="1"/>
  <c r="H1241" i="1"/>
  <c r="H1240" i="1"/>
  <c r="H1239" i="1"/>
  <c r="H1238" i="1"/>
  <c r="H17" i="1" l="1"/>
  <c r="H18" i="1" s="1"/>
  <c r="H19" i="1" s="1"/>
  <c r="H20" i="1" s="1"/>
  <c r="H21" i="1" s="1"/>
  <c r="H22" i="1" s="1"/>
  <c r="H23" i="1" s="1"/>
  <c r="H24" i="1" s="1"/>
  <c r="H25" i="1" s="1"/>
  <c r="H26" i="1" s="1"/>
  <c r="H27" i="1" s="1"/>
  <c r="H28" i="1" s="1"/>
  <c r="H29" i="1" s="1"/>
  <c r="H30" i="1" s="1"/>
  <c r="H31" i="1" s="1"/>
  <c r="H32" i="1" s="1"/>
  <c r="H33" i="1" s="1"/>
  <c r="H34" i="1" s="1"/>
  <c r="H35" i="1" s="1"/>
  <c r="H36" i="1" s="1"/>
  <c r="H37" i="1" s="1"/>
  <c r="H38" i="1" s="1"/>
  <c r="H39" i="1" s="1"/>
  <c r="H40" i="1" s="1"/>
  <c r="H41" i="1" s="1"/>
  <c r="H42" i="1" s="1"/>
  <c r="H43" i="1" s="1"/>
  <c r="H44" i="1" s="1"/>
  <c r="H45" i="1" s="1"/>
  <c r="H46" i="1" s="1"/>
  <c r="H47" i="1" s="1"/>
  <c r="H48" i="1" s="1"/>
  <c r="H49" i="1" s="1"/>
  <c r="H50" i="1" s="1"/>
  <c r="H51" i="1" s="1"/>
  <c r="H52" i="1" s="1"/>
  <c r="H53" i="1" s="1"/>
  <c r="H54" i="1" s="1"/>
  <c r="H55" i="1" s="1"/>
  <c r="H56" i="1" s="1"/>
  <c r="H57" i="1" s="1"/>
  <c r="H58" i="1" s="1"/>
  <c r="H59" i="1" s="1"/>
  <c r="H60" i="1" s="1"/>
  <c r="H61" i="1" s="1"/>
  <c r="H62" i="1" s="1"/>
  <c r="H63" i="1" s="1"/>
  <c r="H64" i="1" s="1"/>
  <c r="H65" i="1" s="1"/>
  <c r="H66" i="1" s="1"/>
  <c r="H67" i="1" s="1"/>
  <c r="H68" i="1" s="1"/>
  <c r="H69" i="1" s="1"/>
  <c r="H70" i="1" s="1"/>
  <c r="H71" i="1" s="1"/>
  <c r="H72" i="1" s="1"/>
  <c r="H73" i="1" s="1"/>
  <c r="H74" i="1" s="1"/>
  <c r="H75" i="1" s="1"/>
  <c r="H76" i="1" s="1"/>
  <c r="H77" i="1" s="1"/>
  <c r="H78" i="1" s="1"/>
  <c r="H79" i="1" s="1"/>
  <c r="H80" i="1" s="1"/>
  <c r="H81" i="1" s="1"/>
  <c r="H82" i="1" s="1"/>
  <c r="H83" i="1" s="1"/>
  <c r="H84" i="1" s="1"/>
  <c r="H85" i="1" s="1"/>
  <c r="H86" i="1" s="1"/>
  <c r="H87" i="1" s="1"/>
  <c r="H88" i="1" s="1"/>
  <c r="H89" i="1" s="1"/>
  <c r="H90" i="1" s="1"/>
  <c r="H91" i="1" s="1"/>
  <c r="H92" i="1" s="1"/>
  <c r="H93" i="1" s="1"/>
  <c r="H94" i="1" s="1"/>
  <c r="H95" i="1" s="1"/>
  <c r="H96" i="1" s="1"/>
  <c r="H97" i="1" s="1"/>
  <c r="H98" i="1" s="1"/>
  <c r="H99" i="1" s="1"/>
  <c r="H100" i="1" s="1"/>
  <c r="H101" i="1" s="1"/>
  <c r="H102" i="1" s="1"/>
  <c r="H103" i="1" s="1"/>
  <c r="H104" i="1" s="1"/>
  <c r="H105" i="1" s="1"/>
  <c r="H106" i="1" s="1"/>
  <c r="H107" i="1" s="1"/>
  <c r="H108" i="1" s="1"/>
  <c r="H109" i="1" s="1"/>
  <c r="H110" i="1" s="1"/>
  <c r="H111" i="1" s="1"/>
  <c r="H112" i="1" s="1"/>
  <c r="H113" i="1" s="1"/>
  <c r="H114" i="1" s="1"/>
  <c r="H115" i="1" s="1"/>
  <c r="H116" i="1" s="1"/>
  <c r="H117" i="1" s="1"/>
  <c r="H118" i="1" s="1"/>
  <c r="H119" i="1" s="1"/>
  <c r="H120" i="1" s="1"/>
  <c r="H121" i="1" s="1"/>
  <c r="H122" i="1" s="1"/>
  <c r="H123" i="1" s="1"/>
  <c r="H124" i="1" s="1"/>
  <c r="H125" i="1" s="1"/>
  <c r="H126" i="1" s="1"/>
  <c r="H127" i="1" s="1"/>
  <c r="H128" i="1" s="1"/>
  <c r="H129" i="1" s="1"/>
  <c r="H130" i="1" s="1"/>
  <c r="H131" i="1" s="1"/>
  <c r="H132" i="1" s="1"/>
  <c r="H133" i="1" s="1"/>
  <c r="H134" i="1" s="1"/>
  <c r="H135" i="1" s="1"/>
  <c r="H136" i="1" s="1"/>
  <c r="H137" i="1" s="1"/>
  <c r="H138" i="1" s="1"/>
  <c r="H139" i="1" s="1"/>
  <c r="H140" i="1" s="1"/>
  <c r="H141" i="1" s="1"/>
  <c r="H142" i="1" s="1"/>
  <c r="H143" i="1" s="1"/>
  <c r="H144" i="1" s="1"/>
  <c r="H145" i="1" s="1"/>
  <c r="H146" i="1" s="1"/>
  <c r="H147" i="1" s="1"/>
  <c r="H148" i="1" s="1"/>
  <c r="H149" i="1" s="1"/>
  <c r="H150" i="1" s="1"/>
  <c r="H151" i="1" s="1"/>
  <c r="H152" i="1" s="1"/>
  <c r="H153" i="1" s="1"/>
  <c r="H154" i="1" s="1"/>
  <c r="H155" i="1" s="1"/>
  <c r="H156" i="1" s="1"/>
  <c r="H157" i="1" s="1"/>
  <c r="H158" i="1" s="1"/>
  <c r="H159" i="1" s="1"/>
  <c r="H160" i="1" s="1"/>
  <c r="H161" i="1" s="1"/>
  <c r="H162" i="1" s="1"/>
  <c r="H163" i="1" s="1"/>
  <c r="H164" i="1" s="1"/>
  <c r="H165" i="1" s="1"/>
  <c r="H166" i="1" s="1"/>
  <c r="H167" i="1" s="1"/>
  <c r="H168" i="1" s="1"/>
  <c r="H169" i="1" s="1"/>
  <c r="H170" i="1" s="1"/>
  <c r="H171" i="1" s="1"/>
  <c r="H172" i="1" s="1"/>
  <c r="H173" i="1" s="1"/>
  <c r="H174" i="1" s="1"/>
  <c r="H175" i="1" s="1"/>
  <c r="H176" i="1" s="1"/>
  <c r="H177" i="1" s="1"/>
  <c r="H178" i="1" s="1"/>
  <c r="H179" i="1" s="1"/>
  <c r="H180" i="1" s="1"/>
  <c r="H181" i="1" s="1"/>
  <c r="H182" i="1" s="1"/>
  <c r="H183" i="1" s="1"/>
  <c r="H184" i="1" s="1"/>
  <c r="H185" i="1" s="1"/>
  <c r="H186" i="1" s="1"/>
  <c r="H187" i="1" s="1"/>
  <c r="H188" i="1" s="1"/>
  <c r="H189" i="1" s="1"/>
  <c r="H190" i="1" s="1"/>
  <c r="H191" i="1" s="1"/>
  <c r="H192" i="1" s="1"/>
  <c r="H193" i="1" s="1"/>
  <c r="H194" i="1" s="1"/>
  <c r="H195" i="1" s="1"/>
  <c r="H196" i="1" s="1"/>
  <c r="H197" i="1" s="1"/>
  <c r="H198" i="1" s="1"/>
  <c r="H199" i="1" s="1"/>
  <c r="H200" i="1" s="1"/>
  <c r="H201" i="1" s="1"/>
  <c r="H202" i="1" s="1"/>
  <c r="H203" i="1" s="1"/>
  <c r="H204" i="1" s="1"/>
  <c r="H205" i="1" s="1"/>
  <c r="H206" i="1" s="1"/>
  <c r="H207" i="1" s="1"/>
  <c r="H208" i="1" s="1"/>
  <c r="H209" i="1" s="1"/>
  <c r="H210" i="1" s="1"/>
  <c r="H211" i="1" s="1"/>
  <c r="H212" i="1" s="1"/>
  <c r="H213" i="1" s="1"/>
  <c r="H214" i="1" s="1"/>
  <c r="H215" i="1" s="1"/>
  <c r="H216" i="1" s="1"/>
  <c r="H217" i="1" s="1"/>
  <c r="H218" i="1" s="1"/>
  <c r="H219" i="1" s="1"/>
  <c r="H220" i="1" s="1"/>
  <c r="H221" i="1" s="1"/>
  <c r="H222" i="1" s="1"/>
  <c r="H223" i="1" s="1"/>
  <c r="H224" i="1" s="1"/>
  <c r="H225" i="1" s="1"/>
  <c r="H226" i="1" s="1"/>
  <c r="H227" i="1" s="1"/>
  <c r="H228" i="1" s="1"/>
  <c r="H229" i="1" s="1"/>
  <c r="H230" i="1" s="1"/>
  <c r="H231" i="1" s="1"/>
  <c r="H232" i="1" s="1"/>
  <c r="H233" i="1" s="1"/>
  <c r="H234" i="1" s="1"/>
  <c r="H235" i="1" s="1"/>
  <c r="H236" i="1" s="1"/>
  <c r="H237" i="1" s="1"/>
  <c r="H238" i="1" s="1"/>
  <c r="H239" i="1" s="1"/>
  <c r="H240" i="1" s="1"/>
  <c r="H241" i="1" s="1"/>
  <c r="H242" i="1" s="1"/>
  <c r="H243" i="1" s="1"/>
  <c r="H244" i="1" s="1"/>
  <c r="H245" i="1" s="1"/>
  <c r="H246" i="1" s="1"/>
  <c r="H247" i="1" s="1"/>
  <c r="H248" i="1" s="1"/>
  <c r="H249" i="1" s="1"/>
  <c r="H250" i="1" s="1"/>
  <c r="H251" i="1" s="1"/>
  <c r="H252" i="1" s="1"/>
  <c r="H253" i="1" s="1"/>
  <c r="H254" i="1" s="1"/>
  <c r="H255" i="1" s="1"/>
  <c r="H256" i="1" s="1"/>
  <c r="H257" i="1" s="1"/>
  <c r="H258" i="1" s="1"/>
  <c r="H259" i="1" s="1"/>
  <c r="H260" i="1" s="1"/>
  <c r="H261" i="1" s="1"/>
  <c r="H262" i="1" s="1"/>
  <c r="H263" i="1" s="1"/>
  <c r="H264" i="1" s="1"/>
  <c r="H265" i="1" s="1"/>
  <c r="H266" i="1" s="1"/>
  <c r="H267" i="1" s="1"/>
  <c r="H268" i="1" s="1"/>
  <c r="H269" i="1" s="1"/>
  <c r="H270" i="1" s="1"/>
  <c r="H271" i="1" s="1"/>
  <c r="H272" i="1" s="1"/>
  <c r="H273" i="1" s="1"/>
  <c r="H274" i="1" s="1"/>
  <c r="H275" i="1" s="1"/>
  <c r="H276" i="1" s="1"/>
  <c r="H277" i="1" s="1"/>
  <c r="H278" i="1" s="1"/>
  <c r="H279" i="1" s="1"/>
  <c r="H280" i="1" s="1"/>
  <c r="H281" i="1" s="1"/>
  <c r="H282" i="1" s="1"/>
  <c r="H283" i="1" s="1"/>
  <c r="H284" i="1" s="1"/>
  <c r="H285" i="1" s="1"/>
  <c r="H286" i="1" s="1"/>
  <c r="H287" i="1" s="1"/>
  <c r="H288" i="1" s="1"/>
  <c r="H289" i="1" s="1"/>
  <c r="H290" i="1" s="1"/>
  <c r="H291" i="1" s="1"/>
  <c r="H292" i="1" s="1"/>
  <c r="H293" i="1" s="1"/>
  <c r="H294" i="1" s="1"/>
  <c r="H295" i="1" s="1"/>
  <c r="H296" i="1" s="1"/>
  <c r="H297" i="1" s="1"/>
  <c r="H298" i="1" s="1"/>
  <c r="H299" i="1" s="1"/>
  <c r="H300" i="1" s="1"/>
  <c r="H301" i="1" s="1"/>
  <c r="H302" i="1" s="1"/>
  <c r="H303" i="1" s="1"/>
  <c r="H304" i="1" s="1"/>
  <c r="H305" i="1" s="1"/>
  <c r="H306" i="1" s="1"/>
  <c r="H307" i="1" s="1"/>
  <c r="H308" i="1" s="1"/>
  <c r="H309" i="1" s="1"/>
  <c r="H310" i="1" s="1"/>
  <c r="H311" i="1" s="1"/>
  <c r="H312" i="1" s="1"/>
  <c r="H313" i="1" s="1"/>
  <c r="H314" i="1" s="1"/>
  <c r="H315" i="1" s="1"/>
  <c r="H316" i="1" s="1"/>
  <c r="H317" i="1" s="1"/>
  <c r="H318" i="1" s="1"/>
  <c r="H319" i="1" s="1"/>
  <c r="H320" i="1" s="1"/>
  <c r="H321" i="1" s="1"/>
  <c r="H322" i="1" s="1"/>
  <c r="H323" i="1" s="1"/>
  <c r="H324" i="1" s="1"/>
  <c r="H325" i="1" s="1"/>
  <c r="H326" i="1" s="1"/>
  <c r="H327" i="1" s="1"/>
  <c r="H328" i="1" s="1"/>
  <c r="H329" i="1" s="1"/>
  <c r="H330" i="1" s="1"/>
  <c r="H331" i="1" s="1"/>
  <c r="H332" i="1" s="1"/>
  <c r="H333" i="1" s="1"/>
  <c r="H334" i="1" s="1"/>
  <c r="H335" i="1" s="1"/>
  <c r="H336" i="1" s="1"/>
  <c r="H337" i="1" s="1"/>
  <c r="H338" i="1" s="1"/>
  <c r="H339" i="1" s="1"/>
  <c r="H340" i="1" s="1"/>
  <c r="H341" i="1" s="1"/>
  <c r="H342" i="1" s="1"/>
  <c r="H343" i="1" s="1"/>
  <c r="H344" i="1" s="1"/>
  <c r="H345" i="1" s="1"/>
  <c r="H346" i="1" s="1"/>
  <c r="H347" i="1" s="1"/>
  <c r="H348" i="1" s="1"/>
  <c r="H349" i="1" s="1"/>
  <c r="H350" i="1" s="1"/>
  <c r="H351" i="1" s="1"/>
  <c r="H352" i="1" s="1"/>
  <c r="H353" i="1" s="1"/>
  <c r="H354" i="1" s="1"/>
  <c r="H355" i="1" s="1"/>
  <c r="H356" i="1" s="1"/>
  <c r="H357" i="1" s="1"/>
  <c r="H358" i="1" s="1"/>
  <c r="H359" i="1" s="1"/>
  <c r="H360" i="1" s="1"/>
  <c r="H361" i="1" s="1"/>
  <c r="H362" i="1" s="1"/>
  <c r="H363" i="1" s="1"/>
  <c r="H364" i="1" s="1"/>
  <c r="H365" i="1" s="1"/>
  <c r="H366" i="1" s="1"/>
  <c r="H367" i="1" s="1"/>
  <c r="H368" i="1" s="1"/>
  <c r="H369" i="1" s="1"/>
  <c r="H370" i="1" s="1"/>
  <c r="H371" i="1" s="1"/>
  <c r="H372" i="1" s="1"/>
  <c r="H373" i="1" s="1"/>
  <c r="H374" i="1" s="1"/>
  <c r="H375" i="1" s="1"/>
  <c r="H376" i="1" s="1"/>
  <c r="H377" i="1" s="1"/>
  <c r="H378" i="1" s="1"/>
  <c r="H379" i="1" s="1"/>
  <c r="H380" i="1" s="1"/>
  <c r="H381" i="1" s="1"/>
  <c r="H382" i="1" s="1"/>
  <c r="H383" i="1" s="1"/>
  <c r="H384" i="1" s="1"/>
  <c r="H385" i="1" s="1"/>
  <c r="H386" i="1" s="1"/>
  <c r="H387" i="1" s="1"/>
  <c r="H388" i="1" s="1"/>
  <c r="H389" i="1" s="1"/>
  <c r="H390" i="1" s="1"/>
  <c r="H391" i="1" s="1"/>
  <c r="H392" i="1" s="1"/>
  <c r="H393" i="1" s="1"/>
  <c r="H394" i="1" s="1"/>
  <c r="H395" i="1" s="1"/>
  <c r="H396" i="1" s="1"/>
  <c r="H397" i="1" s="1"/>
  <c r="H398" i="1" s="1"/>
  <c r="H399" i="1" s="1"/>
  <c r="H400" i="1" s="1"/>
  <c r="H401" i="1" s="1"/>
  <c r="H402" i="1" s="1"/>
  <c r="H403" i="1" s="1"/>
  <c r="H404" i="1" s="1"/>
  <c r="H405" i="1" s="1"/>
  <c r="H406" i="1" s="1"/>
  <c r="H407" i="1" s="1"/>
  <c r="H408" i="1" s="1"/>
  <c r="H409" i="1" s="1"/>
  <c r="H410" i="1" s="1"/>
  <c r="H411" i="1" s="1"/>
  <c r="H412" i="1" s="1"/>
  <c r="H413" i="1" s="1"/>
  <c r="H414" i="1" s="1"/>
  <c r="H415" i="1" s="1"/>
  <c r="H416" i="1" s="1"/>
  <c r="H417" i="1" s="1"/>
  <c r="H418" i="1" s="1"/>
  <c r="H419" i="1" s="1"/>
  <c r="H420" i="1" s="1"/>
  <c r="H421" i="1" s="1"/>
  <c r="H422" i="1" s="1"/>
  <c r="H423" i="1" s="1"/>
  <c r="H424" i="1" s="1"/>
  <c r="H425" i="1" s="1"/>
  <c r="H426" i="1" s="1"/>
  <c r="H427" i="1" s="1"/>
  <c r="H428" i="1" s="1"/>
  <c r="H429" i="1" s="1"/>
  <c r="H430" i="1" s="1"/>
  <c r="H431" i="1" s="1"/>
  <c r="H432" i="1" s="1"/>
  <c r="H433" i="1" s="1"/>
  <c r="H434" i="1" s="1"/>
  <c r="H435" i="1" s="1"/>
  <c r="H436" i="1" s="1"/>
  <c r="H437" i="1" s="1"/>
  <c r="H438" i="1" s="1"/>
  <c r="H439" i="1" s="1"/>
  <c r="H440" i="1" s="1"/>
  <c r="H441" i="1" s="1"/>
  <c r="H442" i="1" s="1"/>
  <c r="H443" i="1" s="1"/>
  <c r="H444" i="1" s="1"/>
  <c r="H445" i="1" s="1"/>
  <c r="H446" i="1" s="1"/>
  <c r="H447" i="1" s="1"/>
  <c r="H448" i="1" s="1"/>
  <c r="H449" i="1" s="1"/>
  <c r="H450" i="1" s="1"/>
  <c r="H451" i="1" s="1"/>
  <c r="H452" i="1" s="1"/>
  <c r="H453" i="1" s="1"/>
  <c r="H454" i="1" s="1"/>
  <c r="H455" i="1" s="1"/>
  <c r="H456" i="1" s="1"/>
  <c r="H457" i="1" s="1"/>
  <c r="H458" i="1" s="1"/>
  <c r="H459" i="1" s="1"/>
  <c r="H460" i="1" s="1"/>
  <c r="H461" i="1" s="1"/>
  <c r="H462" i="1" s="1"/>
  <c r="H463" i="1" s="1"/>
  <c r="H464" i="1" s="1"/>
  <c r="H465" i="1" s="1"/>
  <c r="H466" i="1" s="1"/>
  <c r="H467" i="1" s="1"/>
  <c r="H468" i="1" s="1"/>
  <c r="H469" i="1" s="1"/>
  <c r="H470" i="1" s="1"/>
  <c r="H471" i="1" s="1"/>
  <c r="H472" i="1" s="1"/>
  <c r="H473" i="1" s="1"/>
  <c r="H474" i="1" s="1"/>
  <c r="H475" i="1" s="1"/>
  <c r="H476" i="1" s="1"/>
  <c r="H477" i="1" s="1"/>
  <c r="H478" i="1" s="1"/>
  <c r="H479" i="1" s="1"/>
  <c r="H480" i="1" s="1"/>
  <c r="H481" i="1" s="1"/>
  <c r="H482" i="1" s="1"/>
  <c r="H483" i="1" s="1"/>
  <c r="H484" i="1" s="1"/>
  <c r="H485" i="1" s="1"/>
  <c r="H486" i="1" s="1"/>
  <c r="H487" i="1" s="1"/>
  <c r="H488" i="1" s="1"/>
  <c r="H489" i="1" s="1"/>
  <c r="H490" i="1" s="1"/>
  <c r="H491" i="1" s="1"/>
  <c r="H492" i="1" s="1"/>
  <c r="H493" i="1" s="1"/>
  <c r="H494" i="1" s="1"/>
  <c r="H495" i="1" s="1"/>
  <c r="H496" i="1" s="1"/>
  <c r="H497" i="1" s="1"/>
  <c r="H498" i="1" s="1"/>
  <c r="H499" i="1" s="1"/>
  <c r="H500" i="1" s="1"/>
  <c r="H501" i="1" s="1"/>
  <c r="H502" i="1" s="1"/>
  <c r="H503" i="1" s="1"/>
  <c r="H504" i="1" s="1"/>
  <c r="H505" i="1" s="1"/>
  <c r="H506" i="1" s="1"/>
  <c r="H507" i="1" s="1"/>
  <c r="H508" i="1" s="1"/>
  <c r="H509" i="1" s="1"/>
  <c r="H510" i="1" s="1"/>
  <c r="H511" i="1" s="1"/>
  <c r="H512" i="1" s="1"/>
  <c r="H513" i="1" s="1"/>
  <c r="H514" i="1" s="1"/>
  <c r="H515" i="1" s="1"/>
  <c r="H516" i="1" s="1"/>
  <c r="H517" i="1" s="1"/>
  <c r="H518" i="1" s="1"/>
  <c r="H519" i="1" s="1"/>
  <c r="H520" i="1" s="1"/>
  <c r="H521" i="1" s="1"/>
  <c r="H522" i="1" s="1"/>
  <c r="H523" i="1" s="1"/>
  <c r="H524" i="1" s="1"/>
  <c r="H525" i="1" s="1"/>
  <c r="H526" i="1" s="1"/>
  <c r="H527" i="1" s="1"/>
  <c r="H528" i="1" s="1"/>
  <c r="H529" i="1" s="1"/>
  <c r="H530" i="1" s="1"/>
  <c r="H531" i="1" s="1"/>
  <c r="H532" i="1" s="1"/>
  <c r="H533" i="1" s="1"/>
  <c r="H534" i="1" s="1"/>
  <c r="H535" i="1" s="1"/>
  <c r="H536" i="1" s="1"/>
  <c r="H537" i="1" s="1"/>
  <c r="H538" i="1" s="1"/>
  <c r="H539" i="1" s="1"/>
  <c r="H540" i="1" s="1"/>
  <c r="H541" i="1" s="1"/>
  <c r="H542" i="1" s="1"/>
  <c r="H543" i="1" s="1"/>
  <c r="H544" i="1" s="1"/>
  <c r="H545" i="1" s="1"/>
  <c r="H546" i="1" s="1"/>
  <c r="H547" i="1" s="1"/>
  <c r="H548" i="1" s="1"/>
  <c r="H549" i="1" s="1"/>
  <c r="H550" i="1" s="1"/>
  <c r="H551" i="1" s="1"/>
  <c r="H552" i="1" s="1"/>
  <c r="H553" i="1" s="1"/>
  <c r="H554" i="1" s="1"/>
  <c r="H555" i="1" s="1"/>
  <c r="H556" i="1" s="1"/>
  <c r="H557" i="1" s="1"/>
  <c r="H558" i="1" s="1"/>
  <c r="H559" i="1" s="1"/>
  <c r="H560" i="1" s="1"/>
  <c r="H561" i="1" s="1"/>
  <c r="H562" i="1" s="1"/>
  <c r="H563" i="1" s="1"/>
  <c r="H564" i="1" s="1"/>
  <c r="H565" i="1" s="1"/>
  <c r="H566" i="1" s="1"/>
  <c r="H567" i="1" s="1"/>
  <c r="H568" i="1" s="1"/>
  <c r="H569" i="1" s="1"/>
  <c r="H570" i="1" s="1"/>
  <c r="H571" i="1" s="1"/>
  <c r="H572" i="1" s="1"/>
  <c r="H573" i="1" s="1"/>
  <c r="H574" i="1" s="1"/>
  <c r="H575" i="1" s="1"/>
  <c r="H576" i="1" s="1"/>
  <c r="H577" i="1" s="1"/>
  <c r="H578" i="1" s="1"/>
  <c r="H579" i="1" s="1"/>
  <c r="H580" i="1" s="1"/>
  <c r="H581" i="1" s="1"/>
  <c r="H582" i="1" s="1"/>
  <c r="H583" i="1" s="1"/>
  <c r="H584" i="1" s="1"/>
  <c r="H585" i="1" s="1"/>
  <c r="H586" i="1" s="1"/>
  <c r="H587" i="1" s="1"/>
  <c r="H588" i="1" s="1"/>
  <c r="H589" i="1" s="1"/>
  <c r="H590" i="1" s="1"/>
  <c r="H591" i="1" s="1"/>
  <c r="H592" i="1" s="1"/>
  <c r="H593" i="1" s="1"/>
  <c r="H594" i="1" s="1"/>
  <c r="H595" i="1" s="1"/>
  <c r="H596" i="1" s="1"/>
  <c r="H597" i="1" s="1"/>
  <c r="H598" i="1" s="1"/>
  <c r="H599" i="1" s="1"/>
  <c r="H600" i="1" s="1"/>
  <c r="H601" i="1" s="1"/>
  <c r="H602" i="1" s="1"/>
  <c r="H603" i="1" s="1"/>
  <c r="H604" i="1" s="1"/>
  <c r="H605" i="1" s="1"/>
  <c r="H606" i="1" s="1"/>
  <c r="H607" i="1" s="1"/>
  <c r="H608" i="1" s="1"/>
  <c r="H609" i="1" s="1"/>
  <c r="H610" i="1" s="1"/>
  <c r="H611" i="1" s="1"/>
  <c r="H612" i="1" s="1"/>
  <c r="H613" i="1" s="1"/>
  <c r="H614" i="1" s="1"/>
  <c r="H615" i="1" s="1"/>
  <c r="H616" i="1" s="1"/>
  <c r="H617" i="1" s="1"/>
  <c r="H618" i="1" s="1"/>
  <c r="H619" i="1" s="1"/>
  <c r="H620" i="1" s="1"/>
  <c r="H621" i="1" s="1"/>
  <c r="H622" i="1" s="1"/>
  <c r="H623" i="1" s="1"/>
  <c r="H624" i="1" s="1"/>
  <c r="H625" i="1" s="1"/>
  <c r="H626" i="1" s="1"/>
  <c r="H627" i="1" s="1"/>
  <c r="H628" i="1" s="1"/>
  <c r="H629" i="1" s="1"/>
  <c r="H630" i="1" s="1"/>
  <c r="H631" i="1" s="1"/>
  <c r="H632" i="1" s="1"/>
  <c r="H633" i="1" s="1"/>
  <c r="H634" i="1" s="1"/>
  <c r="H635" i="1" s="1"/>
  <c r="H636" i="1" s="1"/>
  <c r="H637" i="1" s="1"/>
  <c r="H638" i="1" s="1"/>
  <c r="H639" i="1" s="1"/>
  <c r="H640" i="1" s="1"/>
  <c r="H641" i="1" s="1"/>
  <c r="H642" i="1" s="1"/>
  <c r="H643" i="1" s="1"/>
  <c r="H644" i="1" s="1"/>
  <c r="H645" i="1" s="1"/>
  <c r="H646" i="1" s="1"/>
  <c r="H647" i="1" s="1"/>
  <c r="H648" i="1" s="1"/>
  <c r="H649" i="1" s="1"/>
  <c r="H650" i="1" s="1"/>
  <c r="H651" i="1" s="1"/>
  <c r="H652" i="1" s="1"/>
  <c r="H653" i="1" s="1"/>
  <c r="H654" i="1" s="1"/>
  <c r="H655" i="1" s="1"/>
  <c r="H656" i="1" s="1"/>
  <c r="H657" i="1" s="1"/>
  <c r="H658" i="1" s="1"/>
  <c r="H659" i="1" s="1"/>
  <c r="H660" i="1" s="1"/>
  <c r="H661" i="1" s="1"/>
  <c r="H662" i="1" s="1"/>
  <c r="H663" i="1" s="1"/>
  <c r="H664" i="1" s="1"/>
  <c r="H665" i="1" s="1"/>
  <c r="H666" i="1" s="1"/>
  <c r="H667" i="1" s="1"/>
  <c r="H668" i="1" s="1"/>
  <c r="H669" i="1" s="1"/>
  <c r="H670" i="1" s="1"/>
  <c r="H671" i="1" s="1"/>
  <c r="H672" i="1" s="1"/>
  <c r="H673" i="1" s="1"/>
  <c r="H674" i="1" s="1"/>
  <c r="H675" i="1" s="1"/>
  <c r="H676" i="1" s="1"/>
  <c r="H677" i="1" s="1"/>
  <c r="H678" i="1" s="1"/>
  <c r="H679" i="1" s="1"/>
  <c r="H680" i="1" s="1"/>
  <c r="H681" i="1" s="1"/>
  <c r="H682" i="1" s="1"/>
  <c r="H683" i="1" s="1"/>
  <c r="H684" i="1" s="1"/>
  <c r="H685" i="1" s="1"/>
  <c r="H686" i="1" s="1"/>
  <c r="H687" i="1" s="1"/>
  <c r="H688" i="1" s="1"/>
  <c r="H689" i="1" s="1"/>
  <c r="H690" i="1" s="1"/>
  <c r="H691" i="1" s="1"/>
  <c r="H692" i="1" s="1"/>
  <c r="H693" i="1" s="1"/>
  <c r="H694" i="1" s="1"/>
  <c r="H695" i="1" s="1"/>
  <c r="H696" i="1" s="1"/>
  <c r="H697" i="1" s="1"/>
  <c r="H698" i="1" s="1"/>
  <c r="H699" i="1" s="1"/>
  <c r="H700" i="1" s="1"/>
  <c r="H701" i="1" s="1"/>
  <c r="H702" i="1" s="1"/>
  <c r="H703" i="1" s="1"/>
  <c r="H704" i="1" s="1"/>
  <c r="H705" i="1" s="1"/>
  <c r="H706" i="1" s="1"/>
  <c r="H707" i="1" s="1"/>
  <c r="H708" i="1" s="1"/>
  <c r="H709" i="1" s="1"/>
  <c r="H710" i="1" s="1"/>
  <c r="H711" i="1" s="1"/>
  <c r="H712" i="1" s="1"/>
  <c r="H713" i="1" s="1"/>
  <c r="H714" i="1" s="1"/>
  <c r="H715" i="1" s="1"/>
  <c r="H716" i="1" s="1"/>
  <c r="H717" i="1" s="1"/>
  <c r="H718" i="1" s="1"/>
  <c r="H719" i="1" s="1"/>
  <c r="H720" i="1" s="1"/>
  <c r="H721" i="1" s="1"/>
  <c r="H722" i="1" s="1"/>
  <c r="H723" i="1" s="1"/>
  <c r="H724" i="1" s="1"/>
  <c r="H725" i="1" s="1"/>
  <c r="H726" i="1" s="1"/>
  <c r="H727" i="1" s="1"/>
  <c r="H728" i="1" s="1"/>
  <c r="H729" i="1" s="1"/>
  <c r="H730" i="1" s="1"/>
  <c r="H731" i="1" s="1"/>
  <c r="H732" i="1" s="1"/>
  <c r="H733" i="1" s="1"/>
  <c r="H734" i="1" s="1"/>
  <c r="H735" i="1" s="1"/>
  <c r="H736" i="1" s="1"/>
  <c r="H737" i="1" s="1"/>
  <c r="H738" i="1" s="1"/>
  <c r="H739" i="1" s="1"/>
  <c r="H740" i="1" s="1"/>
  <c r="H741" i="1" s="1"/>
  <c r="H742" i="1" s="1"/>
  <c r="H743" i="1" s="1"/>
  <c r="H744" i="1" s="1"/>
  <c r="H745" i="1" s="1"/>
  <c r="H746" i="1" s="1"/>
  <c r="H747" i="1" s="1"/>
  <c r="H748" i="1" s="1"/>
  <c r="H749" i="1" s="1"/>
  <c r="H750" i="1" s="1"/>
  <c r="H751" i="1" s="1"/>
  <c r="H752" i="1" s="1"/>
  <c r="H753" i="1" s="1"/>
  <c r="H754" i="1" s="1"/>
  <c r="H755" i="1" s="1"/>
  <c r="H756" i="1" s="1"/>
  <c r="H757" i="1" s="1"/>
  <c r="H758" i="1" s="1"/>
  <c r="H759" i="1" s="1"/>
  <c r="H760" i="1" s="1"/>
  <c r="H761" i="1" s="1"/>
  <c r="H762" i="1" s="1"/>
  <c r="H763" i="1" s="1"/>
  <c r="H764" i="1" s="1"/>
  <c r="H765" i="1" s="1"/>
  <c r="H766" i="1" s="1"/>
  <c r="H767" i="1" s="1"/>
  <c r="H768" i="1" s="1"/>
  <c r="H769" i="1" s="1"/>
  <c r="H770" i="1" s="1"/>
  <c r="H771" i="1" s="1"/>
  <c r="H772" i="1" s="1"/>
  <c r="H773" i="1" s="1"/>
  <c r="H774" i="1" s="1"/>
  <c r="H775" i="1" s="1"/>
  <c r="H776" i="1" s="1"/>
  <c r="H777" i="1" s="1"/>
  <c r="H778" i="1" s="1"/>
  <c r="H779" i="1" s="1"/>
  <c r="H780" i="1" s="1"/>
  <c r="H781" i="1" s="1"/>
  <c r="H782" i="1" s="1"/>
  <c r="H783" i="1" s="1"/>
  <c r="H784" i="1" s="1"/>
  <c r="H785" i="1" s="1"/>
  <c r="H786" i="1" s="1"/>
  <c r="H787" i="1" s="1"/>
  <c r="H788" i="1" s="1"/>
  <c r="H789" i="1" s="1"/>
  <c r="H790" i="1" s="1"/>
  <c r="H791" i="1" s="1"/>
  <c r="H792" i="1" s="1"/>
  <c r="H793" i="1" s="1"/>
  <c r="H794" i="1" s="1"/>
  <c r="H795" i="1" s="1"/>
  <c r="H796" i="1" s="1"/>
  <c r="H797" i="1" s="1"/>
  <c r="H798" i="1" s="1"/>
  <c r="H799" i="1" s="1"/>
  <c r="H800" i="1" s="1"/>
  <c r="H801" i="1" s="1"/>
  <c r="H802" i="1" s="1"/>
  <c r="H803" i="1" s="1"/>
  <c r="H804" i="1" s="1"/>
  <c r="H805" i="1" s="1"/>
  <c r="H806" i="1" s="1"/>
  <c r="H807" i="1" s="1"/>
  <c r="H808" i="1" s="1"/>
  <c r="H809" i="1" s="1"/>
  <c r="H810" i="1" s="1"/>
  <c r="H811" i="1" s="1"/>
  <c r="H812" i="1" s="1"/>
  <c r="H813" i="1" s="1"/>
  <c r="H814" i="1" s="1"/>
  <c r="H815" i="1" s="1"/>
  <c r="H816" i="1" s="1"/>
  <c r="H817" i="1" s="1"/>
  <c r="H818" i="1" s="1"/>
  <c r="H819" i="1" s="1"/>
  <c r="H820" i="1" s="1"/>
  <c r="H821" i="1" s="1"/>
  <c r="H822" i="1" s="1"/>
  <c r="H823" i="1" s="1"/>
  <c r="H824" i="1" s="1"/>
  <c r="H825" i="1" s="1"/>
  <c r="H826" i="1" s="1"/>
  <c r="H827" i="1" s="1"/>
  <c r="H828" i="1" s="1"/>
  <c r="H829" i="1" s="1"/>
  <c r="H830" i="1" s="1"/>
  <c r="H831" i="1" s="1"/>
  <c r="H832" i="1" s="1"/>
  <c r="H833" i="1" s="1"/>
  <c r="H834" i="1" s="1"/>
  <c r="H835" i="1" s="1"/>
  <c r="H836" i="1" s="1"/>
  <c r="H837" i="1" s="1"/>
  <c r="H838" i="1" s="1"/>
  <c r="H839" i="1" s="1"/>
  <c r="H840" i="1" s="1"/>
  <c r="H841" i="1" s="1"/>
  <c r="H842" i="1" s="1"/>
  <c r="H843" i="1" s="1"/>
  <c r="H844" i="1" s="1"/>
  <c r="H845" i="1" s="1"/>
  <c r="H846" i="1" s="1"/>
  <c r="H847" i="1" s="1"/>
  <c r="H848" i="1" s="1"/>
  <c r="H849" i="1" s="1"/>
  <c r="H850" i="1" s="1"/>
  <c r="H851" i="1" s="1"/>
  <c r="H852" i="1" s="1"/>
  <c r="H853" i="1" s="1"/>
  <c r="H854" i="1" s="1"/>
  <c r="H855" i="1" s="1"/>
  <c r="H856" i="1" s="1"/>
  <c r="H857" i="1" s="1"/>
  <c r="H858" i="1" s="1"/>
  <c r="H859" i="1" s="1"/>
  <c r="H860" i="1" s="1"/>
  <c r="H861" i="1" s="1"/>
  <c r="H862" i="1" s="1"/>
  <c r="H863" i="1" s="1"/>
  <c r="H864" i="1" s="1"/>
  <c r="H865" i="1" s="1"/>
  <c r="H866" i="1" s="1"/>
  <c r="H867" i="1" s="1"/>
  <c r="H868" i="1" s="1"/>
  <c r="H869" i="1" s="1"/>
  <c r="H870" i="1" s="1"/>
  <c r="H871" i="1" s="1"/>
  <c r="H872" i="1" s="1"/>
  <c r="H873" i="1" s="1"/>
  <c r="H874" i="1" s="1"/>
  <c r="H875" i="1" s="1"/>
  <c r="H876" i="1" s="1"/>
  <c r="H877" i="1" s="1"/>
  <c r="H878" i="1" s="1"/>
  <c r="H879" i="1" s="1"/>
  <c r="H880" i="1" s="1"/>
  <c r="H881" i="1" s="1"/>
  <c r="H882" i="1" s="1"/>
  <c r="H883" i="1" s="1"/>
  <c r="H884" i="1" s="1"/>
  <c r="H885" i="1" s="1"/>
  <c r="H886" i="1" s="1"/>
  <c r="H887" i="1" s="1"/>
  <c r="H888" i="1" s="1"/>
  <c r="H889" i="1" s="1"/>
  <c r="H890" i="1" s="1"/>
  <c r="H891" i="1" s="1"/>
  <c r="H892" i="1" s="1"/>
  <c r="H893" i="1" s="1"/>
  <c r="H894" i="1" s="1"/>
  <c r="H895" i="1" s="1"/>
  <c r="H896" i="1" s="1"/>
  <c r="H897" i="1" s="1"/>
  <c r="H898" i="1" s="1"/>
  <c r="H899" i="1" s="1"/>
  <c r="H900" i="1" s="1"/>
  <c r="H901" i="1" s="1"/>
  <c r="H902" i="1" s="1"/>
  <c r="H903" i="1" s="1"/>
  <c r="H904" i="1" s="1"/>
  <c r="H905" i="1" s="1"/>
  <c r="H906" i="1" s="1"/>
  <c r="H907" i="1" s="1"/>
  <c r="H908" i="1" s="1"/>
  <c r="H909" i="1" s="1"/>
  <c r="H910" i="1" s="1"/>
  <c r="H911" i="1" s="1"/>
  <c r="H912" i="1" s="1"/>
  <c r="H913" i="1" s="1"/>
  <c r="H914" i="1" s="1"/>
  <c r="H915" i="1" s="1"/>
  <c r="H916" i="1" s="1"/>
  <c r="H917" i="1" s="1"/>
  <c r="H918" i="1" s="1"/>
  <c r="H919" i="1" s="1"/>
  <c r="H920" i="1" s="1"/>
  <c r="H921" i="1" s="1"/>
  <c r="H922" i="1" s="1"/>
  <c r="H923" i="1" s="1"/>
  <c r="H924" i="1" s="1"/>
  <c r="H925" i="1" s="1"/>
  <c r="H926" i="1" s="1"/>
  <c r="H927" i="1" s="1"/>
  <c r="H928" i="1" s="1"/>
  <c r="H929" i="1" s="1"/>
  <c r="H930" i="1" s="1"/>
  <c r="H931" i="1" s="1"/>
  <c r="H932" i="1" s="1"/>
  <c r="H933" i="1" s="1"/>
  <c r="H934" i="1" s="1"/>
  <c r="H935" i="1" s="1"/>
  <c r="H936" i="1" s="1"/>
  <c r="H937" i="1" s="1"/>
  <c r="H938" i="1" s="1"/>
  <c r="H939" i="1" s="1"/>
  <c r="H940" i="1" s="1"/>
  <c r="H941" i="1" s="1"/>
  <c r="H942" i="1" s="1"/>
  <c r="H943" i="1" s="1"/>
  <c r="H944" i="1" s="1"/>
  <c r="H945" i="1" s="1"/>
  <c r="H946" i="1" s="1"/>
  <c r="H947" i="1" s="1"/>
  <c r="H948" i="1" s="1"/>
  <c r="H949" i="1" s="1"/>
  <c r="H950" i="1" s="1"/>
  <c r="H951" i="1" s="1"/>
  <c r="H952" i="1" s="1"/>
  <c r="H953" i="1" s="1"/>
  <c r="H954" i="1" s="1"/>
  <c r="H955" i="1" s="1"/>
  <c r="H956" i="1" s="1"/>
  <c r="H957" i="1" s="1"/>
  <c r="H958" i="1" s="1"/>
  <c r="H959" i="1" s="1"/>
  <c r="H960" i="1" s="1"/>
  <c r="H961" i="1" s="1"/>
  <c r="H962" i="1" s="1"/>
  <c r="H963" i="1" s="1"/>
  <c r="H964" i="1" s="1"/>
  <c r="H965" i="1" s="1"/>
  <c r="H966" i="1" s="1"/>
  <c r="H967" i="1" s="1"/>
  <c r="H968" i="1" s="1"/>
  <c r="H969" i="1" s="1"/>
  <c r="H970" i="1" s="1"/>
  <c r="H971" i="1" s="1"/>
  <c r="H972" i="1" s="1"/>
  <c r="H973" i="1" s="1"/>
  <c r="H974" i="1" s="1"/>
  <c r="H975" i="1" s="1"/>
  <c r="H976" i="1" s="1"/>
  <c r="H977" i="1" s="1"/>
  <c r="H978" i="1" s="1"/>
  <c r="H979" i="1" s="1"/>
  <c r="H980" i="1" s="1"/>
  <c r="H981" i="1" s="1"/>
  <c r="H982" i="1" s="1"/>
  <c r="H983" i="1" s="1"/>
  <c r="H984" i="1" s="1"/>
  <c r="H985" i="1" s="1"/>
  <c r="H986" i="1" s="1"/>
  <c r="H987" i="1" s="1"/>
  <c r="H988" i="1" s="1"/>
  <c r="H989" i="1" s="1"/>
  <c r="H990" i="1" s="1"/>
  <c r="H991" i="1" s="1"/>
  <c r="H992" i="1" s="1"/>
  <c r="H993" i="1" s="1"/>
  <c r="H994" i="1" s="1"/>
  <c r="H995" i="1" s="1"/>
  <c r="H996" i="1" s="1"/>
  <c r="H997" i="1" s="1"/>
  <c r="H998" i="1" s="1"/>
  <c r="H999" i="1" s="1"/>
  <c r="H1000" i="1" s="1"/>
  <c r="H1001" i="1" s="1"/>
  <c r="H1002" i="1" s="1"/>
  <c r="H1003" i="1" s="1"/>
  <c r="H1004" i="1" s="1"/>
  <c r="H1005" i="1" s="1"/>
  <c r="H1006" i="1" s="1"/>
  <c r="H1007" i="1" s="1"/>
  <c r="H1008" i="1" s="1"/>
  <c r="H1009" i="1" s="1"/>
  <c r="H1010" i="1" s="1"/>
  <c r="H1011" i="1" s="1"/>
  <c r="H1012" i="1" s="1"/>
  <c r="H1013" i="1" s="1"/>
  <c r="H1014" i="1" s="1"/>
  <c r="H1015" i="1" s="1"/>
  <c r="H1016" i="1" s="1"/>
  <c r="H1017" i="1" s="1"/>
  <c r="H1018" i="1" s="1"/>
  <c r="H1019" i="1" s="1"/>
  <c r="H1020" i="1" s="1"/>
  <c r="H1021" i="1" s="1"/>
  <c r="H1022" i="1" s="1"/>
  <c r="H1023" i="1" s="1"/>
  <c r="H1024" i="1" s="1"/>
  <c r="H1025" i="1" s="1"/>
  <c r="H1026" i="1" s="1"/>
  <c r="H1027" i="1" s="1"/>
  <c r="H1028" i="1" s="1"/>
  <c r="H1029" i="1" s="1"/>
  <c r="H1030" i="1" s="1"/>
  <c r="H1031" i="1" s="1"/>
  <c r="H1032" i="1" s="1"/>
  <c r="H1033" i="1" s="1"/>
  <c r="H1034" i="1" s="1"/>
  <c r="H1035" i="1" s="1"/>
  <c r="H1036" i="1" s="1"/>
  <c r="H1037" i="1" s="1"/>
  <c r="H1038" i="1" s="1"/>
  <c r="H1039" i="1" s="1"/>
  <c r="H1040" i="1" s="1"/>
  <c r="H1041" i="1" s="1"/>
  <c r="H1042" i="1" s="1"/>
  <c r="H1043" i="1" s="1"/>
  <c r="H1044" i="1" s="1"/>
  <c r="H1045" i="1" s="1"/>
  <c r="H1046" i="1" s="1"/>
  <c r="H1047" i="1" s="1"/>
  <c r="H1048" i="1" s="1"/>
  <c r="H1049" i="1" s="1"/>
  <c r="H1050" i="1" s="1"/>
  <c r="H1051" i="1" s="1"/>
  <c r="H1052" i="1" s="1"/>
  <c r="H1053" i="1" s="1"/>
  <c r="H1054" i="1" s="1"/>
  <c r="H1055" i="1" s="1"/>
  <c r="H1056" i="1" s="1"/>
  <c r="H1057" i="1" s="1"/>
  <c r="H1058" i="1" s="1"/>
  <c r="H1059" i="1" s="1"/>
  <c r="H1060" i="1" s="1"/>
  <c r="H1061" i="1" s="1"/>
  <c r="H1062" i="1" s="1"/>
  <c r="H1063" i="1" s="1"/>
  <c r="H1064" i="1" s="1"/>
  <c r="H1065" i="1" s="1"/>
  <c r="H1066" i="1" s="1"/>
  <c r="H1067" i="1" s="1"/>
  <c r="H1068" i="1" s="1"/>
  <c r="H1069" i="1" s="1"/>
  <c r="H1070" i="1" s="1"/>
  <c r="H1071" i="1" s="1"/>
  <c r="H1072" i="1" s="1"/>
  <c r="H1073" i="1" s="1"/>
  <c r="H1074" i="1" s="1"/>
  <c r="H1075" i="1" s="1"/>
  <c r="H1076" i="1" s="1"/>
  <c r="H1077" i="1" s="1"/>
  <c r="H1078" i="1" s="1"/>
  <c r="H1079" i="1" s="1"/>
  <c r="H1080" i="1" s="1"/>
  <c r="H1081" i="1" s="1"/>
  <c r="H1082" i="1" s="1"/>
  <c r="H1083" i="1" s="1"/>
  <c r="H1084" i="1" s="1"/>
  <c r="H1085" i="1" s="1"/>
  <c r="H1086" i="1" s="1"/>
  <c r="H1087" i="1" s="1"/>
  <c r="H1088" i="1" s="1"/>
  <c r="H1089" i="1" s="1"/>
  <c r="H1090" i="1" s="1"/>
  <c r="H1091" i="1" s="1"/>
  <c r="H1092" i="1" s="1"/>
  <c r="H1093" i="1" s="1"/>
  <c r="H1094" i="1" s="1"/>
  <c r="H1095" i="1" s="1"/>
  <c r="H3"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3" authorId="0" shapeId="0" xr:uid="{00000000-0006-0000-0100-000001000000}">
      <text>
        <r>
          <rPr>
            <sz val="8"/>
            <color rgb="FF000000"/>
            <rFont val="Tahoma"/>
            <family val="2"/>
            <charset val="1"/>
          </rPr>
          <t>The first date in the list is the current date.</t>
        </r>
      </text>
    </comment>
  </commentList>
</comments>
</file>

<file path=xl/sharedStrings.xml><?xml version="1.0" encoding="utf-8"?>
<sst xmlns="http://schemas.openxmlformats.org/spreadsheetml/2006/main" count="3352" uniqueCount="429">
  <si>
    <t>Checkbook Register</t>
  </si>
  <si>
    <t>Name:</t>
  </si>
  <si>
    <t>Current Balance:</t>
  </si>
  <si>
    <t>See instructions in the Help worksheet</t>
  </si>
  <si>
    <t>Warn when balance is below:</t>
  </si>
  <si>
    <t>Date</t>
  </si>
  <si>
    <t>Num</t>
  </si>
  <si>
    <t>Payee / Description</t>
  </si>
  <si>
    <t>Category</t>
  </si>
  <si>
    <t>R</t>
  </si>
  <si>
    <t>Withdrawal,
Payment (-)</t>
  </si>
  <si>
    <t>Deposit,
Credit (+)</t>
  </si>
  <si>
    <t>Balance</t>
  </si>
  <si>
    <t>INCOME-Other</t>
  </si>
  <si>
    <t>x</t>
  </si>
  <si>
    <t>Groceries</t>
  </si>
  <si>
    <t>Target</t>
  </si>
  <si>
    <t>Dining/Eating Out</t>
  </si>
  <si>
    <t>Columbia Gas</t>
  </si>
  <si>
    <t>Gas/Oil</t>
  </si>
  <si>
    <t>Internet</t>
  </si>
  <si>
    <t>Vehicle Payments</t>
  </si>
  <si>
    <t>Medina County Sanitary</t>
  </si>
  <si>
    <t>Water/Sewer/Trash</t>
  </si>
  <si>
    <t>Gifts</t>
  </si>
  <si>
    <t>Doctor/Dentist/Optometrist</t>
  </si>
  <si>
    <t>Medicine/Drugs</t>
  </si>
  <si>
    <t>First Energy</t>
  </si>
  <si>
    <t>Quicken Loans</t>
  </si>
  <si>
    <t>Verizon Wireless</t>
  </si>
  <si>
    <t>electric</t>
  </si>
  <si>
    <t>Capitol One</t>
  </si>
  <si>
    <t>stuff</t>
  </si>
  <si>
    <t>pnc</t>
  </si>
  <si>
    <t>atm</t>
  </si>
  <si>
    <t>X</t>
  </si>
  <si>
    <t>Honda Financial</t>
  </si>
  <si>
    <t>Books</t>
  </si>
  <si>
    <t>internet</t>
  </si>
  <si>
    <t>gas</t>
  </si>
  <si>
    <t>mike pay</t>
  </si>
  <si>
    <t>Olivia b-day</t>
  </si>
  <si>
    <t>xfer to savings</t>
  </si>
  <si>
    <t>meds</t>
  </si>
  <si>
    <t>Rachel CC</t>
  </si>
  <si>
    <t>cell phone</t>
  </si>
  <si>
    <t>target</t>
  </si>
  <si>
    <t>cc</t>
  </si>
  <si>
    <t>Ella Canavan PTO</t>
  </si>
  <si>
    <t>xfer to reserve</t>
  </si>
  <si>
    <t>mike cc</t>
  </si>
  <si>
    <t>medina city schools</t>
  </si>
  <si>
    <t>xfer from savings</t>
  </si>
  <si>
    <t>olivia lunch</t>
  </si>
  <si>
    <t xml:space="preserve">logan lunch </t>
  </si>
  <si>
    <t>mortgage</t>
  </si>
  <si>
    <t>rachel cc</t>
  </si>
  <si>
    <t>soup</t>
  </si>
  <si>
    <t>ohio edison</t>
  </si>
  <si>
    <t>Synchrony</t>
  </si>
  <si>
    <t>beds</t>
  </si>
  <si>
    <t>tax refund</t>
  </si>
  <si>
    <t>piley</t>
  </si>
  <si>
    <t>kohls</t>
  </si>
  <si>
    <t>s3</t>
  </si>
  <si>
    <t>Medical</t>
  </si>
  <si>
    <t>venmo</t>
  </si>
  <si>
    <t>Total</t>
  </si>
  <si>
    <t>Categories</t>
  </si>
  <si>
    <t>Payees</t>
  </si>
  <si>
    <t>[Balance]</t>
  </si>
  <si>
    <t>** edit this list in the Settings tab</t>
  </si>
  <si>
    <t>These lists are used to populate the drop-down</t>
  </si>
  <si>
    <t>[Transfer]</t>
  </si>
  <si>
    <t>[ Transfer to/from Savings ]</t>
  </si>
  <si>
    <t>c</t>
  </si>
  <si>
    <t>boxes within the Register worksheet.</t>
  </si>
  <si>
    <t>***** INCOME *****</t>
  </si>
  <si>
    <t>[ Transfer to/from Credit Card ]</t>
  </si>
  <si>
    <t>Wages &amp; Tips</t>
  </si>
  <si>
    <t>Direct Deposit from Employer</t>
  </si>
  <si>
    <t>You can edit these list as needed.</t>
  </si>
  <si>
    <t>Interest Income</t>
  </si>
  <si>
    <t>Dividends</t>
  </si>
  <si>
    <t>Costco</t>
  </si>
  <si>
    <t>The list for the Num column is included in the</t>
  </si>
  <si>
    <t>Gifts Received</t>
  </si>
  <si>
    <t>Wal-Mart</t>
  </si>
  <si>
    <t>Register worksheet to the right of the table.</t>
  </si>
  <si>
    <t>Refunds/Reimbursements</t>
  </si>
  <si>
    <t>Joe's Food Mart</t>
  </si>
  <si>
    <t>Financial Aid</t>
  </si>
  <si>
    <t>Rental Income</t>
  </si>
  <si>
    <t>***** SAVINGS *****</t>
  </si>
  <si>
    <t>Emergency Fund</t>
  </si>
  <si>
    <t>Retirement Fund</t>
  </si>
  <si>
    <t>Investments</t>
  </si>
  <si>
    <t>College Fund</t>
  </si>
  <si>
    <t>Taxes</t>
  </si>
  <si>
    <t>Vacation Fund</t>
  </si>
  <si>
    <t>SAVINGS -Other</t>
  </si>
  <si>
    <t>***** CHARITY / GIFTS *****</t>
  </si>
  <si>
    <t>Tithing</t>
  </si>
  <si>
    <t>Charitable Donations</t>
  </si>
  <si>
    <t>Religious Donations</t>
  </si>
  <si>
    <t>Christmas</t>
  </si>
  <si>
    <t>CHARITY - Other</t>
  </si>
  <si>
    <t>***** HOUSING *****</t>
  </si>
  <si>
    <t>Mortgage/Rent</t>
  </si>
  <si>
    <t>Home/Rental Insurance</t>
  </si>
  <si>
    <t>Real Estate Taxes</t>
  </si>
  <si>
    <t>Furnishings/Appliances</t>
  </si>
  <si>
    <t>Lawn/Garden</t>
  </si>
  <si>
    <t>Maintenance/Supplies</t>
  </si>
  <si>
    <t>Improvements</t>
  </si>
  <si>
    <t>HOUSING - Other</t>
  </si>
  <si>
    <t>***** UTILITIES *****</t>
  </si>
  <si>
    <t>Electricity</t>
  </si>
  <si>
    <t>Phone</t>
  </si>
  <si>
    <t>Cable/Satellite</t>
  </si>
  <si>
    <t>UTILITIES - Other</t>
  </si>
  <si>
    <t>***** FOOD *****</t>
  </si>
  <si>
    <t>Pet Food</t>
  </si>
  <si>
    <t>FOOD - Other</t>
  </si>
  <si>
    <t>***** TRANSPORTATION *****</t>
  </si>
  <si>
    <t>Auto Insurance</t>
  </si>
  <si>
    <t>Fuel</t>
  </si>
  <si>
    <t>Bus/Taxi/Train Fare</t>
  </si>
  <si>
    <t>Repairs/Tires</t>
  </si>
  <si>
    <t>Registration/License</t>
  </si>
  <si>
    <t>TRANSPORTATION - Other</t>
  </si>
  <si>
    <t>***** HEALTH *****</t>
  </si>
  <si>
    <t>Health Insurance</t>
  </si>
  <si>
    <t>Disability Insurance</t>
  </si>
  <si>
    <t>Health Club Dues</t>
  </si>
  <si>
    <t>Life Insurance</t>
  </si>
  <si>
    <t>Veterinarian/Pet Care</t>
  </si>
  <si>
    <t>HEALTH - Other</t>
  </si>
  <si>
    <t>***** DAILY LIVING *****</t>
  </si>
  <si>
    <t>Education</t>
  </si>
  <si>
    <t>Clothing</t>
  </si>
  <si>
    <t>Personal Supplies</t>
  </si>
  <si>
    <t>Cleaning Services</t>
  </si>
  <si>
    <t>Laundry / Dry Cleaning</t>
  </si>
  <si>
    <t>Salon/Barber</t>
  </si>
  <si>
    <t>DAILY LIVING - Other</t>
  </si>
  <si>
    <t>***** CHILDREN *****</t>
  </si>
  <si>
    <t>Children:Clothing</t>
  </si>
  <si>
    <t>Music Lessons</t>
  </si>
  <si>
    <t>School Tuition</t>
  </si>
  <si>
    <t>School Lunch</t>
  </si>
  <si>
    <t>School Supplies</t>
  </si>
  <si>
    <t>Babysitting/Child Care</t>
  </si>
  <si>
    <t>Toys/Games</t>
  </si>
  <si>
    <t>CHILDREN - Other</t>
  </si>
  <si>
    <t>***** OBLIGATIONS *****</t>
  </si>
  <si>
    <t>Student Loan</t>
  </si>
  <si>
    <t>Other Loan</t>
  </si>
  <si>
    <t>Credit Card #1</t>
  </si>
  <si>
    <t>Credit Card #2</t>
  </si>
  <si>
    <t>Credit Card #3</t>
  </si>
  <si>
    <t>Alimony/Child Support</t>
  </si>
  <si>
    <t>Federal Taxes</t>
  </si>
  <si>
    <t>State/Local Taxes</t>
  </si>
  <si>
    <t>Legal Fees</t>
  </si>
  <si>
    <t>OBLIGATIONS - Other</t>
  </si>
  <si>
    <t>***** BUSINESS EXPENSE *****</t>
  </si>
  <si>
    <t>Deductible Expenses</t>
  </si>
  <si>
    <t>Non-Deductible Expenses</t>
  </si>
  <si>
    <t>BUSINESS - Other</t>
  </si>
  <si>
    <t>***** ENTERTAINMENT *****</t>
  </si>
  <si>
    <t>Vacation/Travel</t>
  </si>
  <si>
    <t>Videos/DVDs</t>
  </si>
  <si>
    <t>Music</t>
  </si>
  <si>
    <t>Games</t>
  </si>
  <si>
    <t>Rentals</t>
  </si>
  <si>
    <t>Movies/Theater</t>
  </si>
  <si>
    <t>Concerts/Plays</t>
  </si>
  <si>
    <t>Hobbies</t>
  </si>
  <si>
    <t>Film/Photos</t>
  </si>
  <si>
    <t>Sports</t>
  </si>
  <si>
    <t>Outdoor Recreation</t>
  </si>
  <si>
    <t>Toys/Gadgets</t>
  </si>
  <si>
    <t>ENTERTAINMENT - Other</t>
  </si>
  <si>
    <t>***** SUBSCRIPTIONS *****</t>
  </si>
  <si>
    <t>Newspaper</t>
  </si>
  <si>
    <t>Magazines</t>
  </si>
  <si>
    <t>Dues/Memberships</t>
  </si>
  <si>
    <t>SUBSCRIPTIONS - Other</t>
  </si>
  <si>
    <t>***** MISCELLANEOUS *****</t>
  </si>
  <si>
    <t>Bank Fees</t>
  </si>
  <si>
    <t>Postage</t>
  </si>
  <si>
    <t>MISC - Other</t>
  </si>
  <si>
    <t>HELP</t>
  </si>
  <si>
    <t>http://www.vertex42.com/ExcelTemplates/excel-checkbook.html</t>
  </si>
  <si>
    <t>© 2008-2014 Vertex42 LLC</t>
  </si>
  <si>
    <t>Getting Started</t>
  </si>
  <si>
    <t>1. Clear the sample data in the table, but do not clear the Balance column.</t>
  </si>
  <si>
    <t>2. Enter the name of your account at the top of the worksheet (e.g. "Ted's Checking")</t>
  </si>
  <si>
    <t>3. Enter your starting balance as a Deposit in the first row of the register.</t>
  </si>
  <si>
    <t>When adding, deleting, inserting, copying, or pasting transactions in the Register, you will have fewer errors or problems if you delete/insert/copy/paste the entire row. This is done by first right-clicking on the Row number.</t>
  </si>
  <si>
    <t>Note: The Balance formula will not work if you leave a blank row between transactions.</t>
  </si>
  <si>
    <t>Customize the List of Categories</t>
  </si>
  <si>
    <t>Edit the Category list in the Settings worksheet if you want to customize the categories that appear in the drop-down box within the Register table.</t>
  </si>
  <si>
    <t>The current list of categories comes from the Vertex42 Money Management Template (see the link in the references section below).</t>
  </si>
  <si>
    <t>Deleting a Transaction</t>
  </si>
  <si>
    <t>To delete a transaction, right-click on the Row number and select "Delete Row". If you select the Row number and press the Delete key, it will only clear the contents of the row, instead of removing the entire row.</t>
  </si>
  <si>
    <t>Example Entries in the NUM Field</t>
  </si>
  <si>
    <t>2032    (check number)</t>
  </si>
  <si>
    <t>EFT     (electronic funds transfer)</t>
  </si>
  <si>
    <t>DEP    (deposit)</t>
  </si>
  <si>
    <t>TXFR  (transfer to/from other account)</t>
  </si>
  <si>
    <t>CARD (debit/check card)</t>
  </si>
  <si>
    <t>FEE    (bank fees)</t>
  </si>
  <si>
    <t>You can change the options that appear in the drop-down list for the Num column by editing the list in the M column of the Register worksheet (this allows you to have a custom list for each copy of the worksheet).</t>
  </si>
  <si>
    <t>Daily Reconciliation, "C" is for "Cleared"</t>
  </si>
  <si>
    <t>When you see that charges have been processed or "cleared" by your bank, enter a "c" in the Reconcile (R) column for that transaction.</t>
  </si>
  <si>
    <t>[42]</t>
  </si>
  <si>
    <t>Balancing Your Check Book, "R" is for "Reconcile"</t>
  </si>
  <si>
    <t>When balancing your check book, add an "R" or "r" in the Reconcile (R) column to indicate that the transaction is correct and reconciled with your bank statement.</t>
  </si>
  <si>
    <t>Cleared Balance</t>
  </si>
  <si>
    <t>This is the balance that includes all transactions marked "R", "r", "C", or "c". This is the amount that you can use to compare to your bank statement.</t>
  </si>
  <si>
    <t>Current Balance</t>
  </si>
  <si>
    <t>This is the amount that you will want to monitor closely from day to day.</t>
  </si>
  <si>
    <t>Additional Help</t>
  </si>
  <si>
    <t>The link at the top of this worksheet will take you to the web page on vertex42.com that talks about this template.</t>
  </si>
  <si>
    <t>REFERENCES</t>
  </si>
  <si>
    <t>TEMPLATE</t>
  </si>
  <si>
    <t>Vertex42.com: Money Management Template</t>
  </si>
  <si>
    <t>TIPS</t>
  </si>
  <si>
    <t>Vertex42.com: Spreadsheet Tips Workbook</t>
  </si>
  <si>
    <t>ARTICLE</t>
  </si>
  <si>
    <t>Vertex42.com: How to Make a Budget with a Spreadsheet</t>
  </si>
  <si>
    <t>Vertex42.com: Budgeting Tips</t>
  </si>
  <si>
    <t>By Vertex42.com</t>
  </si>
  <si>
    <t>This spreadsheet, including all worksheets and associated content is considered a copyrighted work under the United States and other copyright laws.</t>
  </si>
  <si>
    <t>Do not submit copies or modifications of this template to any website or online template gallery.</t>
  </si>
  <si>
    <t>Please review the following license agreement to learn how you may or may not use this template. Thank you.</t>
  </si>
  <si>
    <t>See License Agreement</t>
  </si>
  <si>
    <t>http://www.vertex42.com/licensing/EULA_privateuse.html</t>
  </si>
  <si>
    <r>
      <rPr>
        <b/>
        <sz val="11"/>
        <color rgb="FF000000"/>
        <rFont val="Arial"/>
        <family val="2"/>
        <charset val="1"/>
      </rPr>
      <t>Do not delete this worksheet.</t>
    </r>
    <r>
      <rPr>
        <sz val="11"/>
        <rFont val="Arial"/>
        <family val="2"/>
        <charset val="1"/>
      </rPr>
      <t xml:space="preserve"> If necessary, you may hide it by right-clicking on the tab and selecting Hide.</t>
    </r>
  </si>
  <si>
    <t>rocket mtg</t>
  </si>
  <si>
    <t>columbia gas</t>
  </si>
  <si>
    <t xml:space="preserve">Total </t>
  </si>
  <si>
    <t>best buy</t>
  </si>
  <si>
    <t>atm reimbursements</t>
  </si>
  <si>
    <t>x-as</t>
  </si>
  <si>
    <t>venmp</t>
  </si>
  <si>
    <t>donuts</t>
  </si>
  <si>
    <t>Carly - Stuff</t>
  </si>
  <si>
    <t>bloom</t>
  </si>
  <si>
    <t>K and L services</t>
  </si>
  <si>
    <t>bathroom reno</t>
  </si>
  <si>
    <t>mikecc</t>
  </si>
  <si>
    <t>carmen</t>
  </si>
  <si>
    <t>olivia art camp</t>
  </si>
  <si>
    <t>child tax credits</t>
  </si>
  <si>
    <t>roblox</t>
  </si>
  <si>
    <t xml:space="preserve">bloom </t>
  </si>
  <si>
    <t>medina fiber</t>
  </si>
  <si>
    <t>Jess</t>
  </si>
  <si>
    <t>dance</t>
  </si>
  <si>
    <t>lunch</t>
  </si>
  <si>
    <t>mothers day</t>
  </si>
  <si>
    <t>field trip logan</t>
  </si>
  <si>
    <t>tshirt donation</t>
  </si>
  <si>
    <t>Canaven Elementary School</t>
  </si>
  <si>
    <t>school fees</t>
  </si>
  <si>
    <t>ella canavan elementary</t>
  </si>
  <si>
    <t>yearbook</t>
  </si>
  <si>
    <t>pizza</t>
  </si>
  <si>
    <t>chase</t>
  </si>
  <si>
    <t>bmv honda plate renewal</t>
  </si>
  <si>
    <t>PNC</t>
  </si>
  <si>
    <t>rewards</t>
  </si>
  <si>
    <t>wells fargo refund</t>
  </si>
  <si>
    <t>synchrony</t>
  </si>
  <si>
    <t>dep</t>
  </si>
  <si>
    <t>vannie</t>
  </si>
  <si>
    <t>Anytime Tree Svc</t>
  </si>
  <si>
    <t>chase cc</t>
  </si>
  <si>
    <t>Raymond James</t>
  </si>
  <si>
    <t>xfer to Cit</t>
  </si>
  <si>
    <t>new savings</t>
  </si>
  <si>
    <t>gas bill</t>
  </si>
  <si>
    <t>Justin Wedding</t>
  </si>
  <si>
    <t>Sportsworld</t>
  </si>
  <si>
    <t>olivia sweatshirt</t>
  </si>
  <si>
    <t>Ripcho Studio</t>
  </si>
  <si>
    <t>olivia 5th grade pics</t>
  </si>
  <si>
    <t>bday</t>
  </si>
  <si>
    <t>Ty bday</t>
  </si>
  <si>
    <t>cookies</t>
  </si>
  <si>
    <t>mom meds</t>
  </si>
  <si>
    <t>ezpass</t>
  </si>
  <si>
    <t>dr jain</t>
  </si>
  <si>
    <t>xfer from reserve</t>
  </si>
  <si>
    <t>xmas</t>
  </si>
  <si>
    <t>Bloom</t>
  </si>
  <si>
    <t>withdrawl</t>
  </si>
  <si>
    <t>elite ceiling</t>
  </si>
  <si>
    <t>drakes xmas</t>
  </si>
  <si>
    <t>ella canavan pto</t>
  </si>
  <si>
    <t>mom phone</t>
  </si>
  <si>
    <t>grange</t>
  </si>
  <si>
    <t>insurance</t>
  </si>
  <si>
    <t>brayden</t>
  </si>
  <si>
    <t>mike bonus</t>
  </si>
  <si>
    <t>ella canavan</t>
  </si>
  <si>
    <t>mike pah</t>
  </si>
  <si>
    <t>cash</t>
  </si>
  <si>
    <t>roof</t>
  </si>
  <si>
    <t>drake</t>
  </si>
  <si>
    <t>olvia dance</t>
  </si>
  <si>
    <t>aapex</t>
  </si>
  <si>
    <t>dentist</t>
  </si>
  <si>
    <t>field triip</t>
  </si>
  <si>
    <t xml:space="preserve"> verizon</t>
  </si>
  <si>
    <t>lisa phone</t>
  </si>
  <si>
    <t>car refund</t>
  </si>
  <si>
    <t>home depot</t>
  </si>
  <si>
    <t>dentist refund</t>
  </si>
  <si>
    <t>dad fathersday/bday gift</t>
  </si>
  <si>
    <t>civ</t>
  </si>
  <si>
    <t>gfs</t>
  </si>
  <si>
    <t>drug mart</t>
  </si>
  <si>
    <t>check dep</t>
  </si>
  <si>
    <t xml:space="preserve">grange </t>
  </si>
  <si>
    <t>apex</t>
  </si>
  <si>
    <t>venmo - food</t>
  </si>
  <si>
    <t xml:space="preserve">target </t>
  </si>
  <si>
    <t>capitol one venture</t>
  </si>
  <si>
    <t>logan cc</t>
  </si>
  <si>
    <t>logan football food</t>
  </si>
  <si>
    <t>Drake b-day</t>
  </si>
  <si>
    <t>mike b-day</t>
  </si>
  <si>
    <t>band fundrasier</t>
  </si>
  <si>
    <t>pnc atm</t>
  </si>
  <si>
    <t>reinbursements</t>
  </si>
  <si>
    <t>xx</t>
  </si>
  <si>
    <t>fantasy football</t>
  </si>
  <si>
    <t>drake x-mas</t>
  </si>
  <si>
    <t>a I root middle school</t>
  </si>
  <si>
    <t>Olivia field trip</t>
  </si>
  <si>
    <t>chas</t>
  </si>
  <si>
    <t>state refund</t>
  </si>
  <si>
    <t>xfer to cit</t>
  </si>
  <si>
    <t>savings</t>
  </si>
  <si>
    <t>Dr Jain</t>
  </si>
  <si>
    <t>co-pay</t>
  </si>
  <si>
    <t xml:space="preserve">Rohi Innovation LLC </t>
  </si>
  <si>
    <t>pool vacay</t>
  </si>
  <si>
    <t>401k</t>
  </si>
  <si>
    <t>Drake</t>
  </si>
  <si>
    <t>zelle</t>
  </si>
  <si>
    <t>Justin Saw</t>
  </si>
  <si>
    <t>capitol one</t>
  </si>
  <si>
    <t xml:space="preserve">cc </t>
  </si>
  <si>
    <t>ATM</t>
  </si>
  <si>
    <t>chasse</t>
  </si>
  <si>
    <t>dinner</t>
  </si>
  <si>
    <t>lit fiber</t>
  </si>
  <si>
    <t>Chase CC</t>
  </si>
  <si>
    <t xml:space="preserve">xfer </t>
  </si>
  <si>
    <t xml:space="preserve">Kendall </t>
  </si>
  <si>
    <t>neurology center</t>
  </si>
  <si>
    <t>medical bill</t>
  </si>
  <si>
    <t>carly</t>
  </si>
  <si>
    <t>Rachel B-day</t>
  </si>
  <si>
    <t>Liv root canal</t>
  </si>
  <si>
    <t>olivia cc</t>
  </si>
  <si>
    <t xml:space="preserve"> mike pay</t>
  </si>
  <si>
    <t>nivine dentist refund</t>
  </si>
  <si>
    <t>Medina City Schools</t>
  </si>
  <si>
    <t>school fees/dc trip/football</t>
  </si>
  <si>
    <t>birthday</t>
  </si>
  <si>
    <t>coach present</t>
  </si>
  <si>
    <t>Logan bday</t>
  </si>
  <si>
    <t>Logan CC</t>
  </si>
  <si>
    <t>escrow refund</t>
  </si>
  <si>
    <t>Logan DC</t>
  </si>
  <si>
    <t>atm refund</t>
  </si>
  <si>
    <t>Chase</t>
  </si>
  <si>
    <t>xfer from CIT</t>
  </si>
  <si>
    <t>refund</t>
  </si>
  <si>
    <t>quicksilver</t>
  </si>
  <si>
    <t>venture</t>
  </si>
  <si>
    <t>Olivia B-day</t>
  </si>
  <si>
    <t>liv b-day</t>
  </si>
  <si>
    <t>pilot</t>
  </si>
  <si>
    <t>biegles plumbing</t>
  </si>
  <si>
    <t>Liv cc</t>
  </si>
  <si>
    <t>dad ring</t>
  </si>
  <si>
    <t>shower gift</t>
  </si>
  <si>
    <t>shower payment</t>
  </si>
  <si>
    <t>shower cake</t>
  </si>
  <si>
    <t>bmv</t>
  </si>
  <si>
    <t>pilot plates</t>
  </si>
  <si>
    <t>Drake Betz</t>
  </si>
  <si>
    <t>house</t>
  </si>
  <si>
    <t>city of medina</t>
  </si>
  <si>
    <t>water -paid CC</t>
  </si>
  <si>
    <t>Medina fiber</t>
  </si>
  <si>
    <t>atm stuff</t>
  </si>
  <si>
    <t xml:space="preserve">pnc </t>
  </si>
  <si>
    <t>medina football</t>
  </si>
  <si>
    <t>fundraiser</t>
  </si>
  <si>
    <t>Medina city schools</t>
  </si>
  <si>
    <t>Logan fees</t>
  </si>
  <si>
    <t>Olivia fees / DC trip</t>
  </si>
  <si>
    <t>Root Middle school</t>
  </si>
  <si>
    <t>logan</t>
  </si>
  <si>
    <t>payout</t>
  </si>
  <si>
    <t>Drake B-day</t>
  </si>
  <si>
    <t>Logan B-day</t>
  </si>
  <si>
    <t>escrow shortage</t>
  </si>
  <si>
    <t>brooke</t>
  </si>
  <si>
    <t>Omni Fiber (paid by cc)</t>
  </si>
  <si>
    <t>gifts</t>
  </si>
  <si>
    <t>Liv</t>
  </si>
  <si>
    <t>x-mas</t>
  </si>
  <si>
    <t>Grange Insurance</t>
  </si>
  <si>
    <t>car insurance</t>
  </si>
  <si>
    <t>raymond james</t>
  </si>
  <si>
    <t>Liv 529</t>
  </si>
  <si>
    <t>Logan 529</t>
  </si>
  <si>
    <t>Investment Acct</t>
  </si>
  <si>
    <t>pnc - ATM</t>
  </si>
  <si>
    <t>federal tax refund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</si>
</sst>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_);_(@_)"/>
    <numFmt numFmtId="165" formatCode="m/dd/yy;@"/>
    <numFmt numFmtId="166" formatCode="ddd\ m/d/yy"/>
  </numFmts>
  <fonts count="29" x14ac:knownFonts="1">
    <font>
      <sz val="11"/>
      <name val="Arial"/>
      <family val="2"/>
      <charset val="1"/>
    </font>
    <font>
      <sz val="10"/>
      <name val="Arial"/>
      <family val="2"/>
      <charset val="1"/>
    </font>
    <font>
      <b/>
      <sz val="18"/>
      <color rgb="FF3A5D9C"/>
      <name val="Arial"/>
      <family val="2"/>
      <charset val="1"/>
    </font>
    <font>
      <sz val="12"/>
      <name val="Arial"/>
      <family val="2"/>
      <charset val="1"/>
    </font>
    <font>
      <b/>
      <sz val="12"/>
      <name val="Arial"/>
      <family val="2"/>
      <charset val="1"/>
    </font>
    <font>
      <b/>
      <sz val="11"/>
      <name val="Arial"/>
      <family val="2"/>
      <charset val="1"/>
    </font>
    <font>
      <b/>
      <sz val="11"/>
      <color rgb="FF000000"/>
      <name val="Arial"/>
      <family val="2"/>
      <charset val="1"/>
    </font>
    <font>
      <sz val="11"/>
      <color rgb="FF000000"/>
      <name val="Arial"/>
      <family val="2"/>
      <charset val="1"/>
    </font>
    <font>
      <sz val="8"/>
      <name val="Arial"/>
      <family val="2"/>
      <charset val="1"/>
    </font>
    <font>
      <sz val="11"/>
      <color rgb="FFFFFFFF"/>
      <name val="Arial"/>
      <family val="2"/>
      <charset val="1"/>
    </font>
    <font>
      <sz val="10"/>
      <color rgb="FF000000"/>
      <name val="Arial"/>
      <family val="2"/>
      <charset val="1"/>
    </font>
    <font>
      <b/>
      <sz val="9"/>
      <name val="Arial"/>
      <family val="2"/>
      <charset val="1"/>
    </font>
    <font>
      <sz val="9"/>
      <name val="Arial"/>
      <family val="2"/>
      <charset val="1"/>
    </font>
    <font>
      <sz val="9"/>
      <name val="Arial"/>
      <family val="2"/>
    </font>
    <font>
      <sz val="12"/>
      <color rgb="FFFFFFFF"/>
      <name val="Arial"/>
      <family val="2"/>
      <charset val="1"/>
    </font>
    <font>
      <i/>
      <sz val="11"/>
      <name val="Arial"/>
      <family val="2"/>
      <charset val="1"/>
    </font>
    <font>
      <sz val="10"/>
      <color rgb="FF2C4675"/>
      <name val="Arial"/>
      <family val="2"/>
      <charset val="1"/>
    </font>
    <font>
      <sz val="8"/>
      <color rgb="FF000000"/>
      <name val="Tahoma"/>
      <family val="2"/>
      <charset val="1"/>
    </font>
    <font>
      <sz val="18"/>
      <name val="Arial"/>
      <family val="2"/>
      <charset val="1"/>
    </font>
    <font>
      <u/>
      <sz val="10"/>
      <color rgb="FF0000FF"/>
      <name val="Arial"/>
      <family val="2"/>
      <charset val="1"/>
    </font>
    <font>
      <sz val="2"/>
      <color rgb="FFFFFFFF"/>
      <name val="Arial"/>
      <family val="2"/>
      <charset val="1"/>
    </font>
    <font>
      <sz val="9"/>
      <color rgb="FF808080"/>
      <name val="Arial"/>
      <family val="2"/>
      <charset val="1"/>
    </font>
    <font>
      <b/>
      <sz val="12"/>
      <color rgb="FFFFFFFF"/>
      <name val="Calibri"/>
      <family val="2"/>
      <charset val="1"/>
    </font>
    <font>
      <sz val="11"/>
      <color rgb="FF595959"/>
      <name val="Calibri"/>
      <family val="2"/>
      <charset val="1"/>
    </font>
    <font>
      <u/>
      <sz val="11"/>
      <color rgb="FF0000FF"/>
      <name val="Arial"/>
      <family val="2"/>
      <charset val="1"/>
    </font>
    <font>
      <sz val="11"/>
      <name val="Calibri"/>
      <family val="2"/>
      <charset val="1"/>
    </font>
    <font>
      <sz val="18"/>
      <color rgb="FF000000"/>
      <name val="Arial"/>
      <family val="2"/>
      <charset val="1"/>
    </font>
    <font>
      <u/>
      <sz val="12"/>
      <color rgb="FF0000FF"/>
      <name val="Arial"/>
      <family val="2"/>
      <charset val="1"/>
    </font>
    <font>
      <sz val="11"/>
      <name val="Arial"/>
      <family val="2"/>
      <charset val="1"/>
    </font>
  </fonts>
  <fills count="7">
    <fill>
      <patternFill patternType="none"/>
    </fill>
    <fill>
      <patternFill patternType="gray125"/>
    </fill>
    <fill>
      <patternFill patternType="solid">
        <fgColor rgb="FFFFFFFF"/>
        <bgColor rgb="FFF2F2F2"/>
      </patternFill>
    </fill>
    <fill>
      <patternFill patternType="solid">
        <fgColor rgb="FFF2F2F2"/>
        <bgColor rgb="FFFFFFFF"/>
      </patternFill>
    </fill>
    <fill>
      <patternFill patternType="solid">
        <fgColor rgb="FF3A5D9C"/>
        <bgColor rgb="FF2C4675"/>
      </patternFill>
    </fill>
    <fill>
      <patternFill patternType="solid">
        <fgColor rgb="FFD4DEEF"/>
        <bgColor rgb="FFF2F2F2"/>
      </patternFill>
    </fill>
    <fill>
      <patternFill patternType="solid">
        <fgColor rgb="FFB2B2B2"/>
        <bgColor rgb="FF969696"/>
      </patternFill>
    </fill>
  </fills>
  <borders count="5">
    <border>
      <left/>
      <right/>
      <top/>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style="thin">
        <color rgb="FFB2B2B2"/>
      </left>
      <right style="thin">
        <color rgb="FFB2B2B2"/>
      </right>
      <top style="thin">
        <color rgb="FFB2B2B2"/>
      </top>
      <bottom/>
      <diagonal/>
    </border>
    <border>
      <left style="thin">
        <color rgb="FFB2B2B2"/>
      </left>
      <right style="thin">
        <color rgb="FFB2B2B2"/>
      </right>
      <top/>
      <bottom/>
      <diagonal/>
    </border>
  </borders>
  <cellStyleXfs count="4">
    <xf numFmtId="0" fontId="0" fillId="0" borderId="0"/>
    <xf numFmtId="164" fontId="28" fillId="0" borderId="0" applyBorder="0" applyProtection="0"/>
    <xf numFmtId="0" fontId="19" fillId="0" borderId="0" applyBorder="0" applyProtection="0"/>
    <xf numFmtId="0" fontId="1" fillId="0" borderId="0"/>
  </cellStyleXfs>
  <cellXfs count="77">
    <xf numFmtId="0" fontId="0" fillId="0" borderId="0" xfId="0"/>
    <xf numFmtId="0" fontId="1" fillId="0" borderId="0" xfId="0" applyFont="1"/>
    <xf numFmtId="0" fontId="2" fillId="0" borderId="0" xfId="0" applyFont="1" applyAlignment="1">
      <alignment vertical="center"/>
    </xf>
    <xf numFmtId="0" fontId="3" fillId="0" borderId="0" xfId="0" applyFont="1" applyAlignment="1">
      <alignment horizontal="right"/>
    </xf>
    <xf numFmtId="0" fontId="5" fillId="0" borderId="0" xfId="0" applyFont="1" applyAlignment="1">
      <alignment horizontal="right" indent="3"/>
    </xf>
    <xf numFmtId="4" fontId="6" fillId="0" borderId="0" xfId="1" applyNumberFormat="1" applyFont="1" applyBorder="1" applyProtection="1"/>
    <xf numFmtId="0" fontId="0" fillId="0" borderId="0" xfId="0" applyAlignment="1">
      <alignment horizontal="right" indent="3"/>
    </xf>
    <xf numFmtId="4" fontId="7" fillId="0" borderId="0" xfId="1" applyNumberFormat="1" applyFont="1" applyBorder="1" applyProtection="1"/>
    <xf numFmtId="0" fontId="1" fillId="0" borderId="0" xfId="0" applyFont="1" applyAlignment="1">
      <alignment horizontal="right" indent="3"/>
    </xf>
    <xf numFmtId="0" fontId="8" fillId="0" borderId="0" xfId="0" applyFont="1" applyAlignment="1">
      <alignment horizontal="left" vertical="center"/>
    </xf>
    <xf numFmtId="0" fontId="1" fillId="0" borderId="0" xfId="0" applyFont="1" applyAlignment="1">
      <alignment vertical="center"/>
    </xf>
    <xf numFmtId="0" fontId="9" fillId="0" borderId="0" xfId="0" applyFont="1" applyAlignment="1">
      <alignment vertical="center"/>
    </xf>
    <xf numFmtId="0" fontId="1" fillId="0" borderId="0" xfId="0" applyFont="1" applyAlignment="1">
      <alignment horizontal="right" vertical="center" indent="3"/>
    </xf>
    <xf numFmtId="4" fontId="10" fillId="2" borderId="2" xfId="1" applyNumberFormat="1" applyFont="1" applyFill="1" applyBorder="1" applyAlignment="1" applyProtection="1">
      <alignment horizontal="right" vertical="center"/>
    </xf>
    <xf numFmtId="0" fontId="5" fillId="0" borderId="0" xfId="0" applyFont="1" applyAlignment="1">
      <alignment horizontal="center" vertical="center"/>
    </xf>
    <xf numFmtId="0" fontId="5" fillId="0" borderId="0" xfId="0" applyFont="1" applyAlignment="1">
      <alignment vertical="center"/>
    </xf>
    <xf numFmtId="0" fontId="11" fillId="0" borderId="0" xfId="0" applyFont="1" applyAlignment="1">
      <alignment horizontal="center" vertical="center" wrapText="1"/>
    </xf>
    <xf numFmtId="165" fontId="12" fillId="0" borderId="2" xfId="0" applyNumberFormat="1" applyFont="1" applyBorder="1" applyAlignment="1">
      <alignment horizontal="right"/>
    </xf>
    <xf numFmtId="0" fontId="12" fillId="0" borderId="2" xfId="0" applyFont="1" applyBorder="1" applyAlignment="1">
      <alignment horizontal="center"/>
    </xf>
    <xf numFmtId="0" fontId="12" fillId="0" borderId="2" xfId="0" applyFont="1" applyBorder="1" applyAlignment="1">
      <alignment wrapText="1"/>
    </xf>
    <xf numFmtId="0" fontId="12" fillId="0" borderId="2" xfId="0" applyFont="1" applyBorder="1" applyAlignment="1">
      <alignment vertical="center"/>
    </xf>
    <xf numFmtId="4" fontId="12" fillId="0" borderId="2" xfId="0" applyNumberFormat="1" applyFont="1" applyBorder="1" applyAlignment="1">
      <alignment horizontal="center" vertical="center" wrapText="1"/>
    </xf>
    <xf numFmtId="4" fontId="12" fillId="3" borderId="2" xfId="0" applyNumberFormat="1" applyFont="1" applyFill="1" applyBorder="1" applyAlignment="1">
      <alignment horizontal="right" vertical="center"/>
    </xf>
    <xf numFmtId="165" fontId="1" fillId="0" borderId="2" xfId="0" applyNumberFormat="1" applyFont="1" applyBorder="1" applyAlignment="1">
      <alignment horizontal="right" vertical="center"/>
    </xf>
    <xf numFmtId="0" fontId="1" fillId="0" borderId="2" xfId="0" applyFont="1" applyBorder="1" applyAlignment="1">
      <alignment vertical="center"/>
    </xf>
    <xf numFmtId="0" fontId="1" fillId="0" borderId="2" xfId="0" applyFont="1" applyBorder="1" applyAlignment="1">
      <alignment vertical="center" wrapText="1"/>
    </xf>
    <xf numFmtId="0" fontId="0" fillId="0" borderId="2" xfId="0" applyBorder="1" applyAlignment="1">
      <alignment horizontal="center" vertical="center"/>
    </xf>
    <xf numFmtId="164" fontId="1" fillId="0" borderId="2" xfId="1" applyFont="1" applyBorder="1" applyAlignment="1" applyProtection="1">
      <alignment vertical="center"/>
    </xf>
    <xf numFmtId="4" fontId="1" fillId="0" borderId="2" xfId="1" applyNumberFormat="1" applyFont="1" applyBorder="1" applyAlignment="1" applyProtection="1">
      <alignment vertical="center"/>
    </xf>
    <xf numFmtId="4" fontId="1" fillId="3" borderId="2" xfId="1" applyNumberFormat="1" applyFont="1" applyFill="1" applyBorder="1" applyAlignment="1" applyProtection="1">
      <alignment horizontal="right" vertical="center"/>
    </xf>
    <xf numFmtId="0" fontId="12" fillId="0" borderId="2" xfId="0" applyFont="1" applyBorder="1"/>
    <xf numFmtId="4" fontId="12" fillId="0" borderId="2" xfId="0" applyNumberFormat="1" applyFont="1" applyBorder="1"/>
    <xf numFmtId="165" fontId="12" fillId="0" borderId="3" xfId="0" applyNumberFormat="1" applyFont="1" applyBorder="1" applyAlignment="1">
      <alignment horizontal="right"/>
    </xf>
    <xf numFmtId="0" fontId="12" fillId="0" borderId="3" xfId="0" applyFont="1" applyBorder="1" applyAlignment="1">
      <alignment horizontal="center"/>
    </xf>
    <xf numFmtId="0" fontId="12" fillId="0" borderId="3" xfId="0" applyFont="1" applyBorder="1" applyAlignment="1">
      <alignment wrapText="1"/>
    </xf>
    <xf numFmtId="0" fontId="12" fillId="0" borderId="3" xfId="0" applyFont="1" applyBorder="1"/>
    <xf numFmtId="4" fontId="12" fillId="0" borderId="3" xfId="0" applyNumberFormat="1" applyFont="1" applyBorder="1"/>
    <xf numFmtId="4" fontId="12" fillId="3" borderId="2" xfId="0" applyNumberFormat="1" applyFont="1" applyFill="1" applyBorder="1"/>
    <xf numFmtId="4" fontId="12" fillId="3" borderId="3" xfId="0" applyNumberFormat="1" applyFont="1" applyFill="1" applyBorder="1"/>
    <xf numFmtId="0" fontId="13" fillId="0" borderId="4" xfId="0" applyFont="1" applyBorder="1" applyAlignment="1">
      <alignment horizontal="right"/>
    </xf>
    <xf numFmtId="0" fontId="13" fillId="0" borderId="4" xfId="0" applyFont="1" applyBorder="1" applyAlignment="1">
      <alignment horizontal="center"/>
    </xf>
    <xf numFmtId="0" fontId="13" fillId="0" borderId="4" xfId="0" applyFont="1" applyBorder="1" applyAlignment="1">
      <alignment wrapText="1"/>
    </xf>
    <xf numFmtId="0" fontId="13" fillId="0" borderId="4" xfId="0" applyFont="1" applyBorder="1"/>
    <xf numFmtId="0" fontId="13" fillId="3" borderId="4" xfId="0" applyFont="1" applyFill="1" applyBorder="1"/>
    <xf numFmtId="0" fontId="14" fillId="4" borderId="0" xfId="0" applyFont="1" applyFill="1" applyAlignment="1">
      <alignment horizontal="center" vertical="center"/>
    </xf>
    <xf numFmtId="0" fontId="0" fillId="0" borderId="0" xfId="0" applyAlignment="1">
      <alignment vertical="center"/>
    </xf>
    <xf numFmtId="0" fontId="0" fillId="5" borderId="0" xfId="0" applyFill="1"/>
    <xf numFmtId="0" fontId="15" fillId="5" borderId="0" xfId="0" applyFont="1" applyFill="1"/>
    <xf numFmtId="0" fontId="0" fillId="3" borderId="0" xfId="0" applyFill="1" applyAlignment="1">
      <alignment horizontal="center"/>
    </xf>
    <xf numFmtId="166" fontId="0" fillId="3" borderId="0" xfId="0" applyNumberFormat="1" applyFill="1" applyAlignment="1">
      <alignment horizontal="center"/>
    </xf>
    <xf numFmtId="0" fontId="16" fillId="0" borderId="0" xfId="0" applyFont="1" applyAlignment="1">
      <alignment horizontal="left"/>
    </xf>
    <xf numFmtId="0" fontId="18" fillId="3" borderId="0" xfId="0" applyFont="1" applyFill="1" applyAlignment="1">
      <alignment vertical="center"/>
    </xf>
    <xf numFmtId="0" fontId="1" fillId="3" borderId="0" xfId="0" applyFont="1" applyFill="1" applyAlignment="1">
      <alignment horizontal="right" vertical="center"/>
    </xf>
    <xf numFmtId="0" fontId="19" fillId="0" borderId="0" xfId="2" applyBorder="1" applyProtection="1"/>
    <xf numFmtId="0" fontId="12" fillId="0" borderId="0" xfId="0" applyFont="1"/>
    <xf numFmtId="0" fontId="20" fillId="0" borderId="0" xfId="0" applyFont="1"/>
    <xf numFmtId="0" fontId="21" fillId="0" borderId="0" xfId="0" applyFont="1" applyAlignment="1">
      <alignment horizontal="right" vertical="center"/>
    </xf>
    <xf numFmtId="0" fontId="5" fillId="0" borderId="0" xfId="0" applyFont="1"/>
    <xf numFmtId="0" fontId="0" fillId="0" borderId="0" xfId="0" applyAlignment="1">
      <alignment wrapText="1"/>
    </xf>
    <xf numFmtId="0" fontId="0" fillId="0" borderId="0" xfId="0" applyAlignment="1">
      <alignment horizontal="left"/>
    </xf>
    <xf numFmtId="0" fontId="0" fillId="0" borderId="0" xfId="0" applyAlignment="1">
      <alignment vertical="top" wrapText="1"/>
    </xf>
    <xf numFmtId="0" fontId="0" fillId="6" borderId="0" xfId="0" applyFill="1" applyAlignment="1">
      <alignment horizontal="right" vertical="top"/>
    </xf>
    <xf numFmtId="0" fontId="22" fillId="6" borderId="0" xfId="0" applyFont="1" applyFill="1"/>
    <xf numFmtId="0" fontId="23" fillId="3" borderId="0" xfId="0" applyFont="1" applyFill="1" applyAlignment="1">
      <alignment horizontal="center"/>
    </xf>
    <xf numFmtId="0" fontId="24" fillId="0" borderId="0" xfId="2" applyFont="1" applyBorder="1" applyAlignment="1" applyProtection="1">
      <alignment horizontal="left" indent="3"/>
    </xf>
    <xf numFmtId="0" fontId="8" fillId="0" borderId="0" xfId="0" applyFont="1"/>
    <xf numFmtId="0" fontId="25" fillId="0" borderId="0" xfId="0" applyFont="1"/>
    <xf numFmtId="0" fontId="26" fillId="3" borderId="0" xfId="0" applyFont="1" applyFill="1" applyAlignment="1">
      <alignment horizontal="left" vertical="center" indent="3"/>
    </xf>
    <xf numFmtId="0" fontId="3" fillId="0" borderId="0" xfId="0" applyFont="1" applyAlignment="1">
      <alignment horizontal="left" wrapText="1" indent="3"/>
    </xf>
    <xf numFmtId="0" fontId="19" fillId="0" borderId="0" xfId="2" applyBorder="1" applyAlignment="1" applyProtection="1">
      <alignment horizontal="left" wrapText="1" indent="3"/>
    </xf>
    <xf numFmtId="0" fontId="4" fillId="0" borderId="0" xfId="0" applyFont="1" applyAlignment="1">
      <alignment horizontal="left" wrapText="1" indent="3"/>
    </xf>
    <xf numFmtId="0" fontId="27" fillId="0" borderId="0" xfId="0" applyFont="1" applyAlignment="1">
      <alignment horizontal="left" wrapText="1" indent="3"/>
    </xf>
    <xf numFmtId="0" fontId="3" fillId="0" borderId="0" xfId="0" applyFont="1" applyAlignment="1">
      <alignment horizontal="left" indent="3"/>
    </xf>
    <xf numFmtId="0" fontId="6" fillId="0" borderId="0" xfId="0" applyFont="1" applyAlignment="1">
      <alignment horizontal="left" wrapText="1" indent="3"/>
    </xf>
    <xf numFmtId="16" fontId="0" fillId="0" borderId="0" xfId="0" applyNumberFormat="1"/>
    <xf numFmtId="4" fontId="1" fillId="0" borderId="0" xfId="0" applyNumberFormat="1" applyFont="1"/>
    <xf numFmtId="0" fontId="4" fillId="0" borderId="1" xfId="0" applyFont="1" applyBorder="1" applyAlignment="1">
      <alignment horizontal="left"/>
    </xf>
  </cellXfs>
  <cellStyles count="4">
    <cellStyle name="Currency" xfId="1" builtinId="4"/>
    <cellStyle name="Hyperlink" xfId="2" builtinId="8"/>
    <cellStyle name="Normal" xfId="0" builtinId="0"/>
    <cellStyle name="Normal 2" xfId="3" xr:uid="{00000000-0005-0000-0000-000003000000}"/>
  </cellStyles>
  <dxfs count="1">
    <dxf>
      <font>
        <color rgb="FFFF0000"/>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2B2B2"/>
      <rgbColor rgb="FF808080"/>
      <rgbColor rgb="FF9999FF"/>
      <rgbColor rgb="FF993366"/>
      <rgbColor rgb="FFF2F2F2"/>
      <rgbColor rgb="FFCCFFFF"/>
      <rgbColor rgb="FF660066"/>
      <rgbColor rgb="FFFF8080"/>
      <rgbColor rgb="FF0066CC"/>
      <rgbColor rgb="FFD4DEE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A5D9C"/>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C467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333375</xdr:colOff>
      <xdr:row>52</xdr:row>
      <xdr:rowOff>47625</xdr:rowOff>
    </xdr:to>
    <xdr:sp macro="" textlink="">
      <xdr:nvSpPr>
        <xdr:cNvPr id="1026" name="_x0000_t202" hidden="1">
          <a:extLst>
            <a:ext uri="{FF2B5EF4-FFF2-40B4-BE49-F238E27FC236}">
              <a16:creationId xmlns:a16="http://schemas.microsoft.com/office/drawing/2014/main" id="{00000000-0008-0000-0100-000002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2" name="AutoShape 2">
          <a:extLst>
            <a:ext uri="{FF2B5EF4-FFF2-40B4-BE49-F238E27FC236}">
              <a16:creationId xmlns:a16="http://schemas.microsoft.com/office/drawing/2014/main" id="{00000000-0008-0000-0100-000002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3" name="AutoShape 2">
          <a:extLst>
            <a:ext uri="{FF2B5EF4-FFF2-40B4-BE49-F238E27FC236}">
              <a16:creationId xmlns:a16="http://schemas.microsoft.com/office/drawing/2014/main" id="{00000000-0008-0000-0100-000003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4" name="AutoShape 2">
          <a:extLst>
            <a:ext uri="{FF2B5EF4-FFF2-40B4-BE49-F238E27FC236}">
              <a16:creationId xmlns:a16="http://schemas.microsoft.com/office/drawing/2014/main" id="{0A9A2E4B-7ECF-4E6C-BC1F-46F62EAE751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5" name="AutoShape 2">
          <a:extLst>
            <a:ext uri="{FF2B5EF4-FFF2-40B4-BE49-F238E27FC236}">
              <a16:creationId xmlns:a16="http://schemas.microsoft.com/office/drawing/2014/main" id="{2E5DB646-69D6-4618-A6AC-BD8CEFA9BC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6" name="AutoShape 2">
          <a:extLst>
            <a:ext uri="{FF2B5EF4-FFF2-40B4-BE49-F238E27FC236}">
              <a16:creationId xmlns:a16="http://schemas.microsoft.com/office/drawing/2014/main" id="{1F1447A8-7D6C-4E39-9CB4-76965F24CD2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7" name="AutoShape 2">
          <a:extLst>
            <a:ext uri="{FF2B5EF4-FFF2-40B4-BE49-F238E27FC236}">
              <a16:creationId xmlns:a16="http://schemas.microsoft.com/office/drawing/2014/main" id="{CD924CB8-F3CB-44EE-8D7F-8DDE6ED634C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8" name="AutoShape 2">
          <a:extLst>
            <a:ext uri="{FF2B5EF4-FFF2-40B4-BE49-F238E27FC236}">
              <a16:creationId xmlns:a16="http://schemas.microsoft.com/office/drawing/2014/main" id="{47291031-F3F6-49C6-A4A3-8AA5C5B6872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9" name="AutoShape 2">
          <a:extLst>
            <a:ext uri="{FF2B5EF4-FFF2-40B4-BE49-F238E27FC236}">
              <a16:creationId xmlns:a16="http://schemas.microsoft.com/office/drawing/2014/main" id="{F9A51AB0-5943-441D-9B9A-3CF2D805916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 name="AutoShape 2">
          <a:extLst>
            <a:ext uri="{FF2B5EF4-FFF2-40B4-BE49-F238E27FC236}">
              <a16:creationId xmlns:a16="http://schemas.microsoft.com/office/drawing/2014/main" id="{C4C1CE43-BA89-4731-87D5-7404E9B2EF1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 name="AutoShape 2">
          <a:extLst>
            <a:ext uri="{FF2B5EF4-FFF2-40B4-BE49-F238E27FC236}">
              <a16:creationId xmlns:a16="http://schemas.microsoft.com/office/drawing/2014/main" id="{8403CDF2-B23C-4180-BA35-7F10710C6E0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 name="AutoShape 2">
          <a:extLst>
            <a:ext uri="{FF2B5EF4-FFF2-40B4-BE49-F238E27FC236}">
              <a16:creationId xmlns:a16="http://schemas.microsoft.com/office/drawing/2014/main" id="{B03AE28D-CCB5-49AF-83F3-AE602EAB0FB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 name="AutoShape 2">
          <a:extLst>
            <a:ext uri="{FF2B5EF4-FFF2-40B4-BE49-F238E27FC236}">
              <a16:creationId xmlns:a16="http://schemas.microsoft.com/office/drawing/2014/main" id="{9FE83BEA-6CFD-42E2-998D-0BA9D121C2F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 name="AutoShape 2">
          <a:extLst>
            <a:ext uri="{FF2B5EF4-FFF2-40B4-BE49-F238E27FC236}">
              <a16:creationId xmlns:a16="http://schemas.microsoft.com/office/drawing/2014/main" id="{2A98D534-7E07-4C79-817B-04EF1E7CFC0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 name="AutoShape 2">
          <a:extLst>
            <a:ext uri="{FF2B5EF4-FFF2-40B4-BE49-F238E27FC236}">
              <a16:creationId xmlns:a16="http://schemas.microsoft.com/office/drawing/2014/main" id="{26B5805B-52EE-463C-9755-D037B675B0C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6" name="AutoShape 2">
          <a:extLst>
            <a:ext uri="{FF2B5EF4-FFF2-40B4-BE49-F238E27FC236}">
              <a16:creationId xmlns:a16="http://schemas.microsoft.com/office/drawing/2014/main" id="{3D831A00-78C9-47D3-BE88-F67C94AEDB6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7" name="AutoShape 2">
          <a:extLst>
            <a:ext uri="{FF2B5EF4-FFF2-40B4-BE49-F238E27FC236}">
              <a16:creationId xmlns:a16="http://schemas.microsoft.com/office/drawing/2014/main" id="{AF6D173B-295D-4C07-A870-4EC68AD6031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8" name="AutoShape 2">
          <a:extLst>
            <a:ext uri="{FF2B5EF4-FFF2-40B4-BE49-F238E27FC236}">
              <a16:creationId xmlns:a16="http://schemas.microsoft.com/office/drawing/2014/main" id="{311E5D2D-702E-407B-87BE-1B0030D6B85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9" name="AutoShape 2">
          <a:extLst>
            <a:ext uri="{FF2B5EF4-FFF2-40B4-BE49-F238E27FC236}">
              <a16:creationId xmlns:a16="http://schemas.microsoft.com/office/drawing/2014/main" id="{C65ECFC3-4146-4666-BF57-D3CEB3D1E7A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20" name="AutoShape 2">
          <a:extLst>
            <a:ext uri="{FF2B5EF4-FFF2-40B4-BE49-F238E27FC236}">
              <a16:creationId xmlns:a16="http://schemas.microsoft.com/office/drawing/2014/main" id="{CC6BFD44-0522-4C90-9E2E-80B1E0A1140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21" name="AutoShape 2">
          <a:extLst>
            <a:ext uri="{FF2B5EF4-FFF2-40B4-BE49-F238E27FC236}">
              <a16:creationId xmlns:a16="http://schemas.microsoft.com/office/drawing/2014/main" id="{B8DCD45D-9907-44BF-9662-63B82B73136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22" name="AutoShape 2">
          <a:extLst>
            <a:ext uri="{FF2B5EF4-FFF2-40B4-BE49-F238E27FC236}">
              <a16:creationId xmlns:a16="http://schemas.microsoft.com/office/drawing/2014/main" id="{B133E4BD-FF49-4CE1-AF06-1870E0858ED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23" name="AutoShape 2">
          <a:extLst>
            <a:ext uri="{FF2B5EF4-FFF2-40B4-BE49-F238E27FC236}">
              <a16:creationId xmlns:a16="http://schemas.microsoft.com/office/drawing/2014/main" id="{68D11ACC-FD12-4D1E-BD23-B51078D96AF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24" name="AutoShape 2">
          <a:extLst>
            <a:ext uri="{FF2B5EF4-FFF2-40B4-BE49-F238E27FC236}">
              <a16:creationId xmlns:a16="http://schemas.microsoft.com/office/drawing/2014/main" id="{B9FF3C27-D288-497F-A0F4-7FE3B2D431B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25" name="AutoShape 2">
          <a:extLst>
            <a:ext uri="{FF2B5EF4-FFF2-40B4-BE49-F238E27FC236}">
              <a16:creationId xmlns:a16="http://schemas.microsoft.com/office/drawing/2014/main" id="{590DDE57-EC8E-4343-8C98-317C06EA235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26" name="AutoShape 2">
          <a:extLst>
            <a:ext uri="{FF2B5EF4-FFF2-40B4-BE49-F238E27FC236}">
              <a16:creationId xmlns:a16="http://schemas.microsoft.com/office/drawing/2014/main" id="{C1698F97-5404-479A-8E9D-99439F3BDCF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27" name="AutoShape 2">
          <a:extLst>
            <a:ext uri="{FF2B5EF4-FFF2-40B4-BE49-F238E27FC236}">
              <a16:creationId xmlns:a16="http://schemas.microsoft.com/office/drawing/2014/main" id="{359F47CB-45E6-4D16-A67E-222D565DFBB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28" name="AutoShape 2">
          <a:extLst>
            <a:ext uri="{FF2B5EF4-FFF2-40B4-BE49-F238E27FC236}">
              <a16:creationId xmlns:a16="http://schemas.microsoft.com/office/drawing/2014/main" id="{099695B6-28A1-42D0-83F6-2A2954BCEC3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29" name="AutoShape 2">
          <a:extLst>
            <a:ext uri="{FF2B5EF4-FFF2-40B4-BE49-F238E27FC236}">
              <a16:creationId xmlns:a16="http://schemas.microsoft.com/office/drawing/2014/main" id="{A43A06DA-0AC0-4701-BBE1-6FD9EEAC34F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30" name="AutoShape 2">
          <a:extLst>
            <a:ext uri="{FF2B5EF4-FFF2-40B4-BE49-F238E27FC236}">
              <a16:creationId xmlns:a16="http://schemas.microsoft.com/office/drawing/2014/main" id="{60406A23-7CE2-49B3-9279-03BD1469DF4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31" name="AutoShape 2">
          <a:extLst>
            <a:ext uri="{FF2B5EF4-FFF2-40B4-BE49-F238E27FC236}">
              <a16:creationId xmlns:a16="http://schemas.microsoft.com/office/drawing/2014/main" id="{D1EE588D-B131-43F9-9C04-198025EACB0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24" name="AutoShape 2">
          <a:extLst>
            <a:ext uri="{FF2B5EF4-FFF2-40B4-BE49-F238E27FC236}">
              <a16:creationId xmlns:a16="http://schemas.microsoft.com/office/drawing/2014/main" id="{C258AC22-69F2-4685-82DA-4038311D999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25" name="AutoShape 2">
          <a:extLst>
            <a:ext uri="{FF2B5EF4-FFF2-40B4-BE49-F238E27FC236}">
              <a16:creationId xmlns:a16="http://schemas.microsoft.com/office/drawing/2014/main" id="{1E1430B5-F0AE-42E7-B4D1-6139688FD80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27" name="AutoShape 2">
          <a:extLst>
            <a:ext uri="{FF2B5EF4-FFF2-40B4-BE49-F238E27FC236}">
              <a16:creationId xmlns:a16="http://schemas.microsoft.com/office/drawing/2014/main" id="{5FDC3E29-ADC3-4475-A303-BEAFEBC9AA0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28" name="AutoShape 2">
          <a:extLst>
            <a:ext uri="{FF2B5EF4-FFF2-40B4-BE49-F238E27FC236}">
              <a16:creationId xmlns:a16="http://schemas.microsoft.com/office/drawing/2014/main" id="{10D2A9CD-DD16-482E-AF02-666FC04697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29" name="AutoShape 2">
          <a:extLst>
            <a:ext uri="{FF2B5EF4-FFF2-40B4-BE49-F238E27FC236}">
              <a16:creationId xmlns:a16="http://schemas.microsoft.com/office/drawing/2014/main" id="{41FADD9F-D300-449D-8DB5-D9789AA34B8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30" name="AutoShape 2">
          <a:extLst>
            <a:ext uri="{FF2B5EF4-FFF2-40B4-BE49-F238E27FC236}">
              <a16:creationId xmlns:a16="http://schemas.microsoft.com/office/drawing/2014/main" id="{D51E271A-9315-42EE-A0EE-0912F452FD9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31" name="AutoShape 2">
          <a:extLst>
            <a:ext uri="{FF2B5EF4-FFF2-40B4-BE49-F238E27FC236}">
              <a16:creationId xmlns:a16="http://schemas.microsoft.com/office/drawing/2014/main" id="{AB7A40AA-8E9B-4F70-BD73-9140456EA12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32" name="AutoShape 2">
          <a:extLst>
            <a:ext uri="{FF2B5EF4-FFF2-40B4-BE49-F238E27FC236}">
              <a16:creationId xmlns:a16="http://schemas.microsoft.com/office/drawing/2014/main" id="{0100E496-DBD0-4BD4-B04D-FE68DC535C2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33" name="AutoShape 2">
          <a:extLst>
            <a:ext uri="{FF2B5EF4-FFF2-40B4-BE49-F238E27FC236}">
              <a16:creationId xmlns:a16="http://schemas.microsoft.com/office/drawing/2014/main" id="{65290279-EA91-4094-A4F3-671EBD2B909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34" name="AutoShape 2">
          <a:extLst>
            <a:ext uri="{FF2B5EF4-FFF2-40B4-BE49-F238E27FC236}">
              <a16:creationId xmlns:a16="http://schemas.microsoft.com/office/drawing/2014/main" id="{C090E43E-2C0A-45D6-B7BD-6724FEB8779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35" name="AutoShape 2">
          <a:extLst>
            <a:ext uri="{FF2B5EF4-FFF2-40B4-BE49-F238E27FC236}">
              <a16:creationId xmlns:a16="http://schemas.microsoft.com/office/drawing/2014/main" id="{BA565E38-577B-4691-9FA1-50172A7F0B7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36" name="AutoShape 2">
          <a:extLst>
            <a:ext uri="{FF2B5EF4-FFF2-40B4-BE49-F238E27FC236}">
              <a16:creationId xmlns:a16="http://schemas.microsoft.com/office/drawing/2014/main" id="{F7D6875D-7DDF-4991-AEE2-352AD0AA863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37" name="AutoShape 2">
          <a:extLst>
            <a:ext uri="{FF2B5EF4-FFF2-40B4-BE49-F238E27FC236}">
              <a16:creationId xmlns:a16="http://schemas.microsoft.com/office/drawing/2014/main" id="{D03519AB-BFA5-433D-93A7-08CDADFAF6F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38" name="AutoShape 2">
          <a:extLst>
            <a:ext uri="{FF2B5EF4-FFF2-40B4-BE49-F238E27FC236}">
              <a16:creationId xmlns:a16="http://schemas.microsoft.com/office/drawing/2014/main" id="{5E5E588D-B39D-4FBD-BE69-AB2F0311166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39" name="AutoShape 2">
          <a:extLst>
            <a:ext uri="{FF2B5EF4-FFF2-40B4-BE49-F238E27FC236}">
              <a16:creationId xmlns:a16="http://schemas.microsoft.com/office/drawing/2014/main" id="{234B303A-BAD5-4676-867B-08D5318E685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40" name="AutoShape 2">
          <a:extLst>
            <a:ext uri="{FF2B5EF4-FFF2-40B4-BE49-F238E27FC236}">
              <a16:creationId xmlns:a16="http://schemas.microsoft.com/office/drawing/2014/main" id="{4685A58C-3CF3-4CEF-939B-8A2517462C5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41" name="AutoShape 2">
          <a:extLst>
            <a:ext uri="{FF2B5EF4-FFF2-40B4-BE49-F238E27FC236}">
              <a16:creationId xmlns:a16="http://schemas.microsoft.com/office/drawing/2014/main" id="{6DA260CC-AE4E-4895-AF63-51724B46E9C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42" name="AutoShape 2">
          <a:extLst>
            <a:ext uri="{FF2B5EF4-FFF2-40B4-BE49-F238E27FC236}">
              <a16:creationId xmlns:a16="http://schemas.microsoft.com/office/drawing/2014/main" id="{A024D6B8-748D-4441-8A4F-3A2DB8A1E17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43" name="AutoShape 2">
          <a:extLst>
            <a:ext uri="{FF2B5EF4-FFF2-40B4-BE49-F238E27FC236}">
              <a16:creationId xmlns:a16="http://schemas.microsoft.com/office/drawing/2014/main" id="{92F60E98-D609-462A-B4D0-8321CC52D4E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44" name="AutoShape 2">
          <a:extLst>
            <a:ext uri="{FF2B5EF4-FFF2-40B4-BE49-F238E27FC236}">
              <a16:creationId xmlns:a16="http://schemas.microsoft.com/office/drawing/2014/main" id="{D8C00FDE-4C88-46FD-82D4-F647EBD60C1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45" name="AutoShape 2">
          <a:extLst>
            <a:ext uri="{FF2B5EF4-FFF2-40B4-BE49-F238E27FC236}">
              <a16:creationId xmlns:a16="http://schemas.microsoft.com/office/drawing/2014/main" id="{7E82F650-2DFE-4CDF-9BE4-9BB02A5DAC4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46" name="AutoShape 2">
          <a:extLst>
            <a:ext uri="{FF2B5EF4-FFF2-40B4-BE49-F238E27FC236}">
              <a16:creationId xmlns:a16="http://schemas.microsoft.com/office/drawing/2014/main" id="{9731652E-241D-4F2D-B68C-A4A9831295A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47" name="AutoShape 2">
          <a:extLst>
            <a:ext uri="{FF2B5EF4-FFF2-40B4-BE49-F238E27FC236}">
              <a16:creationId xmlns:a16="http://schemas.microsoft.com/office/drawing/2014/main" id="{0A46AE65-1314-4F21-A279-9E53EAA22AF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48" name="AutoShape 2">
          <a:extLst>
            <a:ext uri="{FF2B5EF4-FFF2-40B4-BE49-F238E27FC236}">
              <a16:creationId xmlns:a16="http://schemas.microsoft.com/office/drawing/2014/main" id="{7B7C6016-CE34-40F9-883B-1CF2A21FF17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49" name="AutoShape 2">
          <a:extLst>
            <a:ext uri="{FF2B5EF4-FFF2-40B4-BE49-F238E27FC236}">
              <a16:creationId xmlns:a16="http://schemas.microsoft.com/office/drawing/2014/main" id="{EB0B3854-EF9C-4BC8-B90B-03011701481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50" name="AutoShape 2">
          <a:extLst>
            <a:ext uri="{FF2B5EF4-FFF2-40B4-BE49-F238E27FC236}">
              <a16:creationId xmlns:a16="http://schemas.microsoft.com/office/drawing/2014/main" id="{44E98015-AF74-4EF8-B601-16C3640A3A7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51" name="AutoShape 2">
          <a:extLst>
            <a:ext uri="{FF2B5EF4-FFF2-40B4-BE49-F238E27FC236}">
              <a16:creationId xmlns:a16="http://schemas.microsoft.com/office/drawing/2014/main" id="{7EFA6531-1454-41E4-8F83-B2E2537ED0B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52" name="AutoShape 2">
          <a:extLst>
            <a:ext uri="{FF2B5EF4-FFF2-40B4-BE49-F238E27FC236}">
              <a16:creationId xmlns:a16="http://schemas.microsoft.com/office/drawing/2014/main" id="{B504351F-894C-40C3-848A-83D342E060B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53" name="AutoShape 2">
          <a:extLst>
            <a:ext uri="{FF2B5EF4-FFF2-40B4-BE49-F238E27FC236}">
              <a16:creationId xmlns:a16="http://schemas.microsoft.com/office/drawing/2014/main" id="{1AA9BE49-6764-4523-B736-EEA7ABDEE33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54" name="AutoShape 2">
          <a:extLst>
            <a:ext uri="{FF2B5EF4-FFF2-40B4-BE49-F238E27FC236}">
              <a16:creationId xmlns:a16="http://schemas.microsoft.com/office/drawing/2014/main" id="{7B9CC4D5-685F-4900-A48F-9A43746C18D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55" name="AutoShape 2">
          <a:extLst>
            <a:ext uri="{FF2B5EF4-FFF2-40B4-BE49-F238E27FC236}">
              <a16:creationId xmlns:a16="http://schemas.microsoft.com/office/drawing/2014/main" id="{3DA17096-235B-4DAE-869D-B131F4B3D4E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56" name="AutoShape 2">
          <a:extLst>
            <a:ext uri="{FF2B5EF4-FFF2-40B4-BE49-F238E27FC236}">
              <a16:creationId xmlns:a16="http://schemas.microsoft.com/office/drawing/2014/main" id="{3FD5FD67-D117-4E37-9B7E-82F8BEE08D1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57" name="AutoShape 2">
          <a:extLst>
            <a:ext uri="{FF2B5EF4-FFF2-40B4-BE49-F238E27FC236}">
              <a16:creationId xmlns:a16="http://schemas.microsoft.com/office/drawing/2014/main" id="{16285E06-2300-47E0-A65B-CA2E914F7C8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58" name="AutoShape 2">
          <a:extLst>
            <a:ext uri="{FF2B5EF4-FFF2-40B4-BE49-F238E27FC236}">
              <a16:creationId xmlns:a16="http://schemas.microsoft.com/office/drawing/2014/main" id="{A5D32A6D-7142-4F53-87E7-637C6E45758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59" name="AutoShape 2">
          <a:extLst>
            <a:ext uri="{FF2B5EF4-FFF2-40B4-BE49-F238E27FC236}">
              <a16:creationId xmlns:a16="http://schemas.microsoft.com/office/drawing/2014/main" id="{2FE7040A-C5B8-491B-8C45-8F80E45DDCC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60" name="AutoShape 2">
          <a:extLst>
            <a:ext uri="{FF2B5EF4-FFF2-40B4-BE49-F238E27FC236}">
              <a16:creationId xmlns:a16="http://schemas.microsoft.com/office/drawing/2014/main" id="{EC9347CA-91BB-4923-A9C8-1DC8F4D549D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61" name="AutoShape 2">
          <a:extLst>
            <a:ext uri="{FF2B5EF4-FFF2-40B4-BE49-F238E27FC236}">
              <a16:creationId xmlns:a16="http://schemas.microsoft.com/office/drawing/2014/main" id="{887AD9B1-EAD7-4B44-9127-AAAC2558913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62" name="AutoShape 2">
          <a:extLst>
            <a:ext uri="{FF2B5EF4-FFF2-40B4-BE49-F238E27FC236}">
              <a16:creationId xmlns:a16="http://schemas.microsoft.com/office/drawing/2014/main" id="{161D8811-9388-4A23-94EA-A6520386F0C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63" name="AutoShape 2">
          <a:extLst>
            <a:ext uri="{FF2B5EF4-FFF2-40B4-BE49-F238E27FC236}">
              <a16:creationId xmlns:a16="http://schemas.microsoft.com/office/drawing/2014/main" id="{86315D93-84C5-49FA-AB52-E798CE74FE9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64" name="AutoShape 2">
          <a:extLst>
            <a:ext uri="{FF2B5EF4-FFF2-40B4-BE49-F238E27FC236}">
              <a16:creationId xmlns:a16="http://schemas.microsoft.com/office/drawing/2014/main" id="{C964661A-11EF-4E84-BB69-89AC463BAE6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65" name="AutoShape 2">
          <a:extLst>
            <a:ext uri="{FF2B5EF4-FFF2-40B4-BE49-F238E27FC236}">
              <a16:creationId xmlns:a16="http://schemas.microsoft.com/office/drawing/2014/main" id="{CE93BE73-0995-42E7-BEDF-D8000493935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66" name="AutoShape 2">
          <a:extLst>
            <a:ext uri="{FF2B5EF4-FFF2-40B4-BE49-F238E27FC236}">
              <a16:creationId xmlns:a16="http://schemas.microsoft.com/office/drawing/2014/main" id="{338EF52B-5146-49AE-A382-AEF9748A605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67" name="AutoShape 2">
          <a:extLst>
            <a:ext uri="{FF2B5EF4-FFF2-40B4-BE49-F238E27FC236}">
              <a16:creationId xmlns:a16="http://schemas.microsoft.com/office/drawing/2014/main" id="{020721B8-E8F6-4938-AF39-4D9528A4709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68" name="AutoShape 2">
          <a:extLst>
            <a:ext uri="{FF2B5EF4-FFF2-40B4-BE49-F238E27FC236}">
              <a16:creationId xmlns:a16="http://schemas.microsoft.com/office/drawing/2014/main" id="{4A9B7CB7-2B50-4D49-8170-834FEBFB25A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69" name="AutoShape 2">
          <a:extLst>
            <a:ext uri="{FF2B5EF4-FFF2-40B4-BE49-F238E27FC236}">
              <a16:creationId xmlns:a16="http://schemas.microsoft.com/office/drawing/2014/main" id="{F9567943-B3B5-47E9-AD23-7567713298B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70" name="AutoShape 2">
          <a:extLst>
            <a:ext uri="{FF2B5EF4-FFF2-40B4-BE49-F238E27FC236}">
              <a16:creationId xmlns:a16="http://schemas.microsoft.com/office/drawing/2014/main" id="{97F4EE56-C531-4711-96A1-7950FBF2E45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71" name="AutoShape 2">
          <a:extLst>
            <a:ext uri="{FF2B5EF4-FFF2-40B4-BE49-F238E27FC236}">
              <a16:creationId xmlns:a16="http://schemas.microsoft.com/office/drawing/2014/main" id="{5BB5EB11-44D4-4782-AAD6-19649DA7742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72" name="AutoShape 2">
          <a:extLst>
            <a:ext uri="{FF2B5EF4-FFF2-40B4-BE49-F238E27FC236}">
              <a16:creationId xmlns:a16="http://schemas.microsoft.com/office/drawing/2014/main" id="{C950C606-3A0C-4A20-80AD-FEC95E3479E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73" name="AutoShape 2">
          <a:extLst>
            <a:ext uri="{FF2B5EF4-FFF2-40B4-BE49-F238E27FC236}">
              <a16:creationId xmlns:a16="http://schemas.microsoft.com/office/drawing/2014/main" id="{5491C423-6C4F-48AE-9D4D-B31F1BE5A8B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74" name="AutoShape 2">
          <a:extLst>
            <a:ext uri="{FF2B5EF4-FFF2-40B4-BE49-F238E27FC236}">
              <a16:creationId xmlns:a16="http://schemas.microsoft.com/office/drawing/2014/main" id="{EF26DEC7-E069-4388-B824-6F38EB2680B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75" name="AutoShape 2">
          <a:extLst>
            <a:ext uri="{FF2B5EF4-FFF2-40B4-BE49-F238E27FC236}">
              <a16:creationId xmlns:a16="http://schemas.microsoft.com/office/drawing/2014/main" id="{E95C1A76-F2DE-465E-9113-75154B368EA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76" name="AutoShape 2">
          <a:extLst>
            <a:ext uri="{FF2B5EF4-FFF2-40B4-BE49-F238E27FC236}">
              <a16:creationId xmlns:a16="http://schemas.microsoft.com/office/drawing/2014/main" id="{E55468EE-AF00-4BD6-960B-FF671BFE691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77" name="AutoShape 2">
          <a:extLst>
            <a:ext uri="{FF2B5EF4-FFF2-40B4-BE49-F238E27FC236}">
              <a16:creationId xmlns:a16="http://schemas.microsoft.com/office/drawing/2014/main" id="{B11A2728-AE39-445E-8440-821EDECC79F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78" name="AutoShape 2">
          <a:extLst>
            <a:ext uri="{FF2B5EF4-FFF2-40B4-BE49-F238E27FC236}">
              <a16:creationId xmlns:a16="http://schemas.microsoft.com/office/drawing/2014/main" id="{DE4709E9-DAD7-4EB0-84A6-93EED6D93A7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79" name="AutoShape 2">
          <a:extLst>
            <a:ext uri="{FF2B5EF4-FFF2-40B4-BE49-F238E27FC236}">
              <a16:creationId xmlns:a16="http://schemas.microsoft.com/office/drawing/2014/main" id="{4246BE1F-942E-4F50-97DF-CD7A7362F74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80" name="AutoShape 2">
          <a:extLst>
            <a:ext uri="{FF2B5EF4-FFF2-40B4-BE49-F238E27FC236}">
              <a16:creationId xmlns:a16="http://schemas.microsoft.com/office/drawing/2014/main" id="{722898A8-B8F2-4198-94E3-30A29FC2E07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81" name="AutoShape 2">
          <a:extLst>
            <a:ext uri="{FF2B5EF4-FFF2-40B4-BE49-F238E27FC236}">
              <a16:creationId xmlns:a16="http://schemas.microsoft.com/office/drawing/2014/main" id="{FE14C909-53F3-49F7-970E-D49EA3D253D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82" name="AutoShape 2">
          <a:extLst>
            <a:ext uri="{FF2B5EF4-FFF2-40B4-BE49-F238E27FC236}">
              <a16:creationId xmlns:a16="http://schemas.microsoft.com/office/drawing/2014/main" id="{5F1B01F8-6CA0-4EE4-A922-02DF04E96E6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83" name="AutoShape 2">
          <a:extLst>
            <a:ext uri="{FF2B5EF4-FFF2-40B4-BE49-F238E27FC236}">
              <a16:creationId xmlns:a16="http://schemas.microsoft.com/office/drawing/2014/main" id="{A99196CB-4E67-43B6-AA80-B47FCC476FB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84" name="AutoShape 2">
          <a:extLst>
            <a:ext uri="{FF2B5EF4-FFF2-40B4-BE49-F238E27FC236}">
              <a16:creationId xmlns:a16="http://schemas.microsoft.com/office/drawing/2014/main" id="{1AA457C1-8EEE-45EC-AB37-DDF4AFDA6B6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85" name="AutoShape 2">
          <a:extLst>
            <a:ext uri="{FF2B5EF4-FFF2-40B4-BE49-F238E27FC236}">
              <a16:creationId xmlns:a16="http://schemas.microsoft.com/office/drawing/2014/main" id="{F9905520-1545-46C6-94A4-753FB896468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86" name="AutoShape 2">
          <a:extLst>
            <a:ext uri="{FF2B5EF4-FFF2-40B4-BE49-F238E27FC236}">
              <a16:creationId xmlns:a16="http://schemas.microsoft.com/office/drawing/2014/main" id="{EFDE47EC-DDA8-44E2-9BCC-91EB778E273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87" name="AutoShape 2">
          <a:extLst>
            <a:ext uri="{FF2B5EF4-FFF2-40B4-BE49-F238E27FC236}">
              <a16:creationId xmlns:a16="http://schemas.microsoft.com/office/drawing/2014/main" id="{7B9AB3C8-228A-4BB1-A015-28CD325CDA9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88" name="AutoShape 2">
          <a:extLst>
            <a:ext uri="{FF2B5EF4-FFF2-40B4-BE49-F238E27FC236}">
              <a16:creationId xmlns:a16="http://schemas.microsoft.com/office/drawing/2014/main" id="{D63600F4-A959-4820-B608-0A1A88B20BB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89" name="AutoShape 2">
          <a:extLst>
            <a:ext uri="{FF2B5EF4-FFF2-40B4-BE49-F238E27FC236}">
              <a16:creationId xmlns:a16="http://schemas.microsoft.com/office/drawing/2014/main" id="{AD9F1C38-6952-4B56-9FBA-0C6654DD80F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90" name="AutoShape 2">
          <a:extLst>
            <a:ext uri="{FF2B5EF4-FFF2-40B4-BE49-F238E27FC236}">
              <a16:creationId xmlns:a16="http://schemas.microsoft.com/office/drawing/2014/main" id="{BF4D0CEE-D38C-465A-A049-C9CB194A4F1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91" name="AutoShape 2">
          <a:extLst>
            <a:ext uri="{FF2B5EF4-FFF2-40B4-BE49-F238E27FC236}">
              <a16:creationId xmlns:a16="http://schemas.microsoft.com/office/drawing/2014/main" id="{E110AA7B-7E05-4BB1-A710-05F142A97F7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92" name="AutoShape 2">
          <a:extLst>
            <a:ext uri="{FF2B5EF4-FFF2-40B4-BE49-F238E27FC236}">
              <a16:creationId xmlns:a16="http://schemas.microsoft.com/office/drawing/2014/main" id="{B8ADAD4D-6443-46DB-868A-9DFE9A2ABC5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93" name="AutoShape 2">
          <a:extLst>
            <a:ext uri="{FF2B5EF4-FFF2-40B4-BE49-F238E27FC236}">
              <a16:creationId xmlns:a16="http://schemas.microsoft.com/office/drawing/2014/main" id="{4666C2DD-B425-4587-90D4-6AD787468C7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94" name="AutoShape 2">
          <a:extLst>
            <a:ext uri="{FF2B5EF4-FFF2-40B4-BE49-F238E27FC236}">
              <a16:creationId xmlns:a16="http://schemas.microsoft.com/office/drawing/2014/main" id="{05C9B0C7-0251-4DC9-9976-6C002AAD5C7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95" name="AutoShape 2">
          <a:extLst>
            <a:ext uri="{FF2B5EF4-FFF2-40B4-BE49-F238E27FC236}">
              <a16:creationId xmlns:a16="http://schemas.microsoft.com/office/drawing/2014/main" id="{83EA8A11-12CC-4A03-8E25-A291E5B16A7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96" name="AutoShape 2">
          <a:extLst>
            <a:ext uri="{FF2B5EF4-FFF2-40B4-BE49-F238E27FC236}">
              <a16:creationId xmlns:a16="http://schemas.microsoft.com/office/drawing/2014/main" id="{747604CC-409B-4380-B25B-7080FD73660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97" name="AutoShape 2">
          <a:extLst>
            <a:ext uri="{FF2B5EF4-FFF2-40B4-BE49-F238E27FC236}">
              <a16:creationId xmlns:a16="http://schemas.microsoft.com/office/drawing/2014/main" id="{77B06672-0EF3-4C5C-AE26-1DB4B46BF2E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98" name="AutoShape 2">
          <a:extLst>
            <a:ext uri="{FF2B5EF4-FFF2-40B4-BE49-F238E27FC236}">
              <a16:creationId xmlns:a16="http://schemas.microsoft.com/office/drawing/2014/main" id="{CEAE2FB9-5415-4DB9-B2E1-A021555E20B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099" name="AutoShape 2">
          <a:extLst>
            <a:ext uri="{FF2B5EF4-FFF2-40B4-BE49-F238E27FC236}">
              <a16:creationId xmlns:a16="http://schemas.microsoft.com/office/drawing/2014/main" id="{1A3FBDCA-4C7B-4EA9-A543-5388C70B205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00" name="AutoShape 2">
          <a:extLst>
            <a:ext uri="{FF2B5EF4-FFF2-40B4-BE49-F238E27FC236}">
              <a16:creationId xmlns:a16="http://schemas.microsoft.com/office/drawing/2014/main" id="{36F06AC6-549F-451F-A10B-85B56AF1507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01" name="AutoShape 2">
          <a:extLst>
            <a:ext uri="{FF2B5EF4-FFF2-40B4-BE49-F238E27FC236}">
              <a16:creationId xmlns:a16="http://schemas.microsoft.com/office/drawing/2014/main" id="{64493422-9FE1-4384-B2FE-A820DD491EF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02" name="AutoShape 2">
          <a:extLst>
            <a:ext uri="{FF2B5EF4-FFF2-40B4-BE49-F238E27FC236}">
              <a16:creationId xmlns:a16="http://schemas.microsoft.com/office/drawing/2014/main" id="{51C88343-31A9-42A7-B59B-A5D2A3CABA9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03" name="AutoShape 2">
          <a:extLst>
            <a:ext uri="{FF2B5EF4-FFF2-40B4-BE49-F238E27FC236}">
              <a16:creationId xmlns:a16="http://schemas.microsoft.com/office/drawing/2014/main" id="{E31B4986-0EDD-40ED-AA8A-BD0D328AE99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04" name="AutoShape 2">
          <a:extLst>
            <a:ext uri="{FF2B5EF4-FFF2-40B4-BE49-F238E27FC236}">
              <a16:creationId xmlns:a16="http://schemas.microsoft.com/office/drawing/2014/main" id="{C5C92896-3588-409F-86FA-51D0F1AF3E3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05" name="AutoShape 2">
          <a:extLst>
            <a:ext uri="{FF2B5EF4-FFF2-40B4-BE49-F238E27FC236}">
              <a16:creationId xmlns:a16="http://schemas.microsoft.com/office/drawing/2014/main" id="{54D11968-C28D-4131-AF42-709E9633FE6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06" name="AutoShape 2">
          <a:extLst>
            <a:ext uri="{FF2B5EF4-FFF2-40B4-BE49-F238E27FC236}">
              <a16:creationId xmlns:a16="http://schemas.microsoft.com/office/drawing/2014/main" id="{D04F8D10-00DE-4497-893C-8832636AA9F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07" name="AutoShape 2">
          <a:extLst>
            <a:ext uri="{FF2B5EF4-FFF2-40B4-BE49-F238E27FC236}">
              <a16:creationId xmlns:a16="http://schemas.microsoft.com/office/drawing/2014/main" id="{69C22599-8D0E-49FF-8739-75BBFD5C870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08" name="AutoShape 2">
          <a:extLst>
            <a:ext uri="{FF2B5EF4-FFF2-40B4-BE49-F238E27FC236}">
              <a16:creationId xmlns:a16="http://schemas.microsoft.com/office/drawing/2014/main" id="{0D2AAF80-F3A7-454C-A23F-12CD7023C08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09" name="AutoShape 2">
          <a:extLst>
            <a:ext uri="{FF2B5EF4-FFF2-40B4-BE49-F238E27FC236}">
              <a16:creationId xmlns:a16="http://schemas.microsoft.com/office/drawing/2014/main" id="{E1CDE81F-F230-37AC-F26E-04A5B381CFE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10" name="AutoShape 2">
          <a:extLst>
            <a:ext uri="{FF2B5EF4-FFF2-40B4-BE49-F238E27FC236}">
              <a16:creationId xmlns:a16="http://schemas.microsoft.com/office/drawing/2014/main" id="{56E9F941-F1C3-609A-C357-92D36A2A67C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11" name="AutoShape 2">
          <a:extLst>
            <a:ext uri="{FF2B5EF4-FFF2-40B4-BE49-F238E27FC236}">
              <a16:creationId xmlns:a16="http://schemas.microsoft.com/office/drawing/2014/main" id="{C727D7BC-B51F-27ED-D100-C35BCEF2285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12" name="AutoShape 2">
          <a:extLst>
            <a:ext uri="{FF2B5EF4-FFF2-40B4-BE49-F238E27FC236}">
              <a16:creationId xmlns:a16="http://schemas.microsoft.com/office/drawing/2014/main" id="{C9E09575-627B-4C96-28DB-28C0DA8BC20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13" name="AutoShape 2">
          <a:extLst>
            <a:ext uri="{FF2B5EF4-FFF2-40B4-BE49-F238E27FC236}">
              <a16:creationId xmlns:a16="http://schemas.microsoft.com/office/drawing/2014/main" id="{62D1DE21-28E4-DB57-D431-6E2B661A3D7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14" name="AutoShape 2">
          <a:extLst>
            <a:ext uri="{FF2B5EF4-FFF2-40B4-BE49-F238E27FC236}">
              <a16:creationId xmlns:a16="http://schemas.microsoft.com/office/drawing/2014/main" id="{71BA10D2-97C7-41C1-8D50-2B80F0E5637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15" name="AutoShape 2">
          <a:extLst>
            <a:ext uri="{FF2B5EF4-FFF2-40B4-BE49-F238E27FC236}">
              <a16:creationId xmlns:a16="http://schemas.microsoft.com/office/drawing/2014/main" id="{D1545ECA-2769-0AC0-D10C-6BA299AFEB3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16" name="AutoShape 2">
          <a:extLst>
            <a:ext uri="{FF2B5EF4-FFF2-40B4-BE49-F238E27FC236}">
              <a16:creationId xmlns:a16="http://schemas.microsoft.com/office/drawing/2014/main" id="{E5903CD5-851C-D59D-8B4D-37CB04B436E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17" name="AutoShape 2">
          <a:extLst>
            <a:ext uri="{FF2B5EF4-FFF2-40B4-BE49-F238E27FC236}">
              <a16:creationId xmlns:a16="http://schemas.microsoft.com/office/drawing/2014/main" id="{80BA8323-C582-C28E-C6DB-30536B22A28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18" name="AutoShape 2">
          <a:extLst>
            <a:ext uri="{FF2B5EF4-FFF2-40B4-BE49-F238E27FC236}">
              <a16:creationId xmlns:a16="http://schemas.microsoft.com/office/drawing/2014/main" id="{C0B0EA04-6C7E-87CF-3C3F-055FB77C7CA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19" name="AutoShape 2">
          <a:extLst>
            <a:ext uri="{FF2B5EF4-FFF2-40B4-BE49-F238E27FC236}">
              <a16:creationId xmlns:a16="http://schemas.microsoft.com/office/drawing/2014/main" id="{C998E3E9-90FF-C57E-1BE5-3546027BCF6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20" name="AutoShape 2">
          <a:extLst>
            <a:ext uri="{FF2B5EF4-FFF2-40B4-BE49-F238E27FC236}">
              <a16:creationId xmlns:a16="http://schemas.microsoft.com/office/drawing/2014/main" id="{1C735C69-FD6C-C0C0-97D0-36D0BCBC316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21" name="AutoShape 2">
          <a:extLst>
            <a:ext uri="{FF2B5EF4-FFF2-40B4-BE49-F238E27FC236}">
              <a16:creationId xmlns:a16="http://schemas.microsoft.com/office/drawing/2014/main" id="{491392AE-45D1-C225-AFAA-0B23D803AA4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22" name="AutoShape 2">
          <a:extLst>
            <a:ext uri="{FF2B5EF4-FFF2-40B4-BE49-F238E27FC236}">
              <a16:creationId xmlns:a16="http://schemas.microsoft.com/office/drawing/2014/main" id="{6812D6B2-E8C4-1DF7-2F44-A5EFC730908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23" name="AutoShape 2">
          <a:extLst>
            <a:ext uri="{FF2B5EF4-FFF2-40B4-BE49-F238E27FC236}">
              <a16:creationId xmlns:a16="http://schemas.microsoft.com/office/drawing/2014/main" id="{35488652-BD4B-9FE3-AB45-A90BC3DA64A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24" name="AutoShape 2">
          <a:extLst>
            <a:ext uri="{FF2B5EF4-FFF2-40B4-BE49-F238E27FC236}">
              <a16:creationId xmlns:a16="http://schemas.microsoft.com/office/drawing/2014/main" id="{12106F6F-695B-BAA4-270D-E22D4F3FAD9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25" name="AutoShape 2">
          <a:extLst>
            <a:ext uri="{FF2B5EF4-FFF2-40B4-BE49-F238E27FC236}">
              <a16:creationId xmlns:a16="http://schemas.microsoft.com/office/drawing/2014/main" id="{CADF03C6-5703-9150-87E8-478A352F536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26" name="AutoShape 2">
          <a:extLst>
            <a:ext uri="{FF2B5EF4-FFF2-40B4-BE49-F238E27FC236}">
              <a16:creationId xmlns:a16="http://schemas.microsoft.com/office/drawing/2014/main" id="{D1628A53-7870-7BAA-D00C-A3B759E580F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27" name="AutoShape 2">
          <a:extLst>
            <a:ext uri="{FF2B5EF4-FFF2-40B4-BE49-F238E27FC236}">
              <a16:creationId xmlns:a16="http://schemas.microsoft.com/office/drawing/2014/main" id="{32A6719E-6B2F-386F-1174-CEAB17E880B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28" name="AutoShape 2">
          <a:extLst>
            <a:ext uri="{FF2B5EF4-FFF2-40B4-BE49-F238E27FC236}">
              <a16:creationId xmlns:a16="http://schemas.microsoft.com/office/drawing/2014/main" id="{3E54F560-1FBA-403B-62C0-44E17BF8F25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29" name="AutoShape 2">
          <a:extLst>
            <a:ext uri="{FF2B5EF4-FFF2-40B4-BE49-F238E27FC236}">
              <a16:creationId xmlns:a16="http://schemas.microsoft.com/office/drawing/2014/main" id="{8A257544-D120-7D77-4AD7-D862C231D68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30" name="AutoShape 2">
          <a:extLst>
            <a:ext uri="{FF2B5EF4-FFF2-40B4-BE49-F238E27FC236}">
              <a16:creationId xmlns:a16="http://schemas.microsoft.com/office/drawing/2014/main" id="{1161E823-E27A-D1B8-D04A-66B16D4A580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31" name="AutoShape 2">
          <a:extLst>
            <a:ext uri="{FF2B5EF4-FFF2-40B4-BE49-F238E27FC236}">
              <a16:creationId xmlns:a16="http://schemas.microsoft.com/office/drawing/2014/main" id="{BE58F28E-28AD-B871-6DC6-EDBF966238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32" name="AutoShape 2">
          <a:extLst>
            <a:ext uri="{FF2B5EF4-FFF2-40B4-BE49-F238E27FC236}">
              <a16:creationId xmlns:a16="http://schemas.microsoft.com/office/drawing/2014/main" id="{89F31C2C-63F7-3420-6A35-B605B929B4B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33" name="AutoShape 2">
          <a:extLst>
            <a:ext uri="{FF2B5EF4-FFF2-40B4-BE49-F238E27FC236}">
              <a16:creationId xmlns:a16="http://schemas.microsoft.com/office/drawing/2014/main" id="{406F9748-4121-99F0-7D89-C1A76EFE39A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34" name="AutoShape 2">
          <a:extLst>
            <a:ext uri="{FF2B5EF4-FFF2-40B4-BE49-F238E27FC236}">
              <a16:creationId xmlns:a16="http://schemas.microsoft.com/office/drawing/2014/main" id="{4BD3D627-18C5-491C-DF35-766C85CB244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35" name="AutoShape 2">
          <a:extLst>
            <a:ext uri="{FF2B5EF4-FFF2-40B4-BE49-F238E27FC236}">
              <a16:creationId xmlns:a16="http://schemas.microsoft.com/office/drawing/2014/main" id="{798E73DC-96AA-30FA-1EF0-45D9CD035A4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36" name="AutoShape 2">
          <a:extLst>
            <a:ext uri="{FF2B5EF4-FFF2-40B4-BE49-F238E27FC236}">
              <a16:creationId xmlns:a16="http://schemas.microsoft.com/office/drawing/2014/main" id="{8F3F82C4-7D94-03D4-9EA6-6B2F0E0F299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37" name="AutoShape 2">
          <a:extLst>
            <a:ext uri="{FF2B5EF4-FFF2-40B4-BE49-F238E27FC236}">
              <a16:creationId xmlns:a16="http://schemas.microsoft.com/office/drawing/2014/main" id="{2CBED985-D833-81F3-26E6-595FB2B5FC2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38" name="AutoShape 2">
          <a:extLst>
            <a:ext uri="{FF2B5EF4-FFF2-40B4-BE49-F238E27FC236}">
              <a16:creationId xmlns:a16="http://schemas.microsoft.com/office/drawing/2014/main" id="{32155533-6175-E4DA-91E2-F98B8A15520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39" name="AutoShape 2">
          <a:extLst>
            <a:ext uri="{FF2B5EF4-FFF2-40B4-BE49-F238E27FC236}">
              <a16:creationId xmlns:a16="http://schemas.microsoft.com/office/drawing/2014/main" id="{B4E3F30B-A80F-8EFA-1AFB-3181B459F1E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40" name="AutoShape 2">
          <a:extLst>
            <a:ext uri="{FF2B5EF4-FFF2-40B4-BE49-F238E27FC236}">
              <a16:creationId xmlns:a16="http://schemas.microsoft.com/office/drawing/2014/main" id="{A825AAD9-4994-73BE-777B-8890D4B53B6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41" name="AutoShape 2">
          <a:extLst>
            <a:ext uri="{FF2B5EF4-FFF2-40B4-BE49-F238E27FC236}">
              <a16:creationId xmlns:a16="http://schemas.microsoft.com/office/drawing/2014/main" id="{42B76C91-BADB-88EF-02CB-0D8BCF0EA3B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42" name="AutoShape 2">
          <a:extLst>
            <a:ext uri="{FF2B5EF4-FFF2-40B4-BE49-F238E27FC236}">
              <a16:creationId xmlns:a16="http://schemas.microsoft.com/office/drawing/2014/main" id="{18A5D183-82A9-C412-0D7B-0D8D91BBC04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43" name="AutoShape 2">
          <a:extLst>
            <a:ext uri="{FF2B5EF4-FFF2-40B4-BE49-F238E27FC236}">
              <a16:creationId xmlns:a16="http://schemas.microsoft.com/office/drawing/2014/main" id="{6254BE88-48FA-6B8A-98E3-2BB8729EEE6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44" name="AutoShape 2">
          <a:extLst>
            <a:ext uri="{FF2B5EF4-FFF2-40B4-BE49-F238E27FC236}">
              <a16:creationId xmlns:a16="http://schemas.microsoft.com/office/drawing/2014/main" id="{6DD8FF8E-25AE-AC8D-A791-C1B0C4C2CC5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45" name="AutoShape 2">
          <a:extLst>
            <a:ext uri="{FF2B5EF4-FFF2-40B4-BE49-F238E27FC236}">
              <a16:creationId xmlns:a16="http://schemas.microsoft.com/office/drawing/2014/main" id="{294EA484-5ABE-B7CC-6B38-A3FFF000190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46" name="AutoShape 2">
          <a:extLst>
            <a:ext uri="{FF2B5EF4-FFF2-40B4-BE49-F238E27FC236}">
              <a16:creationId xmlns:a16="http://schemas.microsoft.com/office/drawing/2014/main" id="{3305E9F2-3150-E7A4-AB28-97EFC781EB6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47" name="AutoShape 2">
          <a:extLst>
            <a:ext uri="{FF2B5EF4-FFF2-40B4-BE49-F238E27FC236}">
              <a16:creationId xmlns:a16="http://schemas.microsoft.com/office/drawing/2014/main" id="{D3841194-BC32-EEE6-9E9D-77C33CECD74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48" name="AutoShape 2">
          <a:extLst>
            <a:ext uri="{FF2B5EF4-FFF2-40B4-BE49-F238E27FC236}">
              <a16:creationId xmlns:a16="http://schemas.microsoft.com/office/drawing/2014/main" id="{A890B7C9-5A58-A418-3A19-17A0E0EA891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49" name="AutoShape 2">
          <a:extLst>
            <a:ext uri="{FF2B5EF4-FFF2-40B4-BE49-F238E27FC236}">
              <a16:creationId xmlns:a16="http://schemas.microsoft.com/office/drawing/2014/main" id="{5B203608-1E07-5144-9C8A-BE7283AE9F6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50" name="AutoShape 2">
          <a:extLst>
            <a:ext uri="{FF2B5EF4-FFF2-40B4-BE49-F238E27FC236}">
              <a16:creationId xmlns:a16="http://schemas.microsoft.com/office/drawing/2014/main" id="{51200C9B-79AE-8495-936E-EEDE51BACE1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51" name="AutoShape 2">
          <a:extLst>
            <a:ext uri="{FF2B5EF4-FFF2-40B4-BE49-F238E27FC236}">
              <a16:creationId xmlns:a16="http://schemas.microsoft.com/office/drawing/2014/main" id="{8C720491-7F49-FA10-BE41-1E403114FF2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52" name="AutoShape 2">
          <a:extLst>
            <a:ext uri="{FF2B5EF4-FFF2-40B4-BE49-F238E27FC236}">
              <a16:creationId xmlns:a16="http://schemas.microsoft.com/office/drawing/2014/main" id="{D789662C-3F0F-49FF-FC04-B3427F14F64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53" name="AutoShape 2">
          <a:extLst>
            <a:ext uri="{FF2B5EF4-FFF2-40B4-BE49-F238E27FC236}">
              <a16:creationId xmlns:a16="http://schemas.microsoft.com/office/drawing/2014/main" id="{E6A856A1-7035-2C0F-0529-23A9E944C09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54" name="AutoShape 2">
          <a:extLst>
            <a:ext uri="{FF2B5EF4-FFF2-40B4-BE49-F238E27FC236}">
              <a16:creationId xmlns:a16="http://schemas.microsoft.com/office/drawing/2014/main" id="{50D39942-1C25-F818-D3CB-DD5949CF79C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55" name="AutoShape 2">
          <a:extLst>
            <a:ext uri="{FF2B5EF4-FFF2-40B4-BE49-F238E27FC236}">
              <a16:creationId xmlns:a16="http://schemas.microsoft.com/office/drawing/2014/main" id="{8EAAD3AC-AF2E-F3F5-2F9C-A508680DA93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56" name="AutoShape 2">
          <a:extLst>
            <a:ext uri="{FF2B5EF4-FFF2-40B4-BE49-F238E27FC236}">
              <a16:creationId xmlns:a16="http://schemas.microsoft.com/office/drawing/2014/main" id="{C097D473-1E23-FAF3-6A81-AE05D6AED61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57" name="AutoShape 2">
          <a:extLst>
            <a:ext uri="{FF2B5EF4-FFF2-40B4-BE49-F238E27FC236}">
              <a16:creationId xmlns:a16="http://schemas.microsoft.com/office/drawing/2014/main" id="{FE96252B-BAD2-0EA7-4899-A1CAC078E54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58" name="AutoShape 2">
          <a:extLst>
            <a:ext uri="{FF2B5EF4-FFF2-40B4-BE49-F238E27FC236}">
              <a16:creationId xmlns:a16="http://schemas.microsoft.com/office/drawing/2014/main" id="{C4288746-DC41-9826-3E6B-264CC0D1C77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59" name="AutoShape 2">
          <a:extLst>
            <a:ext uri="{FF2B5EF4-FFF2-40B4-BE49-F238E27FC236}">
              <a16:creationId xmlns:a16="http://schemas.microsoft.com/office/drawing/2014/main" id="{DC3E534A-11C2-514E-B0D6-BA8BED16537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60" name="AutoShape 2">
          <a:extLst>
            <a:ext uri="{FF2B5EF4-FFF2-40B4-BE49-F238E27FC236}">
              <a16:creationId xmlns:a16="http://schemas.microsoft.com/office/drawing/2014/main" id="{ED92B3FD-D005-F514-C16C-C765888877D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61" name="AutoShape 2">
          <a:extLst>
            <a:ext uri="{FF2B5EF4-FFF2-40B4-BE49-F238E27FC236}">
              <a16:creationId xmlns:a16="http://schemas.microsoft.com/office/drawing/2014/main" id="{BC91B826-4B86-5800-0F32-119000556EC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62" name="AutoShape 2">
          <a:extLst>
            <a:ext uri="{FF2B5EF4-FFF2-40B4-BE49-F238E27FC236}">
              <a16:creationId xmlns:a16="http://schemas.microsoft.com/office/drawing/2014/main" id="{F3A2FB72-3841-DEED-922F-64478A84D08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63" name="AutoShape 2">
          <a:extLst>
            <a:ext uri="{FF2B5EF4-FFF2-40B4-BE49-F238E27FC236}">
              <a16:creationId xmlns:a16="http://schemas.microsoft.com/office/drawing/2014/main" id="{FD4F6DDF-B71E-2A07-BA09-C23E1A0CFAD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64" name="AutoShape 2">
          <a:extLst>
            <a:ext uri="{FF2B5EF4-FFF2-40B4-BE49-F238E27FC236}">
              <a16:creationId xmlns:a16="http://schemas.microsoft.com/office/drawing/2014/main" id="{EC6AD51E-6588-2A12-36DC-24B80BC8444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65" name="AutoShape 2">
          <a:extLst>
            <a:ext uri="{FF2B5EF4-FFF2-40B4-BE49-F238E27FC236}">
              <a16:creationId xmlns:a16="http://schemas.microsoft.com/office/drawing/2014/main" id="{3A6FEAA3-22CA-0578-86FE-3DEF75C8403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66" name="AutoShape 2">
          <a:extLst>
            <a:ext uri="{FF2B5EF4-FFF2-40B4-BE49-F238E27FC236}">
              <a16:creationId xmlns:a16="http://schemas.microsoft.com/office/drawing/2014/main" id="{77A6B3D1-4477-327F-89F0-E49B86F64B7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67" name="AutoShape 2">
          <a:extLst>
            <a:ext uri="{FF2B5EF4-FFF2-40B4-BE49-F238E27FC236}">
              <a16:creationId xmlns:a16="http://schemas.microsoft.com/office/drawing/2014/main" id="{39E572AE-9CE6-51BC-34D3-7310673912D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68" name="AutoShape 2">
          <a:extLst>
            <a:ext uri="{FF2B5EF4-FFF2-40B4-BE49-F238E27FC236}">
              <a16:creationId xmlns:a16="http://schemas.microsoft.com/office/drawing/2014/main" id="{363B4BCC-73D2-207B-3043-8758171A025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69" name="AutoShape 2">
          <a:extLst>
            <a:ext uri="{FF2B5EF4-FFF2-40B4-BE49-F238E27FC236}">
              <a16:creationId xmlns:a16="http://schemas.microsoft.com/office/drawing/2014/main" id="{634EE067-F19E-6BCD-503A-E4F1FCEA99D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70" name="AutoShape 2">
          <a:extLst>
            <a:ext uri="{FF2B5EF4-FFF2-40B4-BE49-F238E27FC236}">
              <a16:creationId xmlns:a16="http://schemas.microsoft.com/office/drawing/2014/main" id="{63743F11-9720-2B15-29B1-D8DBD77CDC8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71" name="AutoShape 2">
          <a:extLst>
            <a:ext uri="{FF2B5EF4-FFF2-40B4-BE49-F238E27FC236}">
              <a16:creationId xmlns:a16="http://schemas.microsoft.com/office/drawing/2014/main" id="{D2AEF7A3-A97A-6EA5-4F76-878A4CDFF7B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72" name="AutoShape 2">
          <a:extLst>
            <a:ext uri="{FF2B5EF4-FFF2-40B4-BE49-F238E27FC236}">
              <a16:creationId xmlns:a16="http://schemas.microsoft.com/office/drawing/2014/main" id="{88D5443D-6284-F474-07DA-7CD3358DC44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73" name="AutoShape 2">
          <a:extLst>
            <a:ext uri="{FF2B5EF4-FFF2-40B4-BE49-F238E27FC236}">
              <a16:creationId xmlns:a16="http://schemas.microsoft.com/office/drawing/2014/main" id="{9D08A91C-C661-5BC7-85B2-910A326B111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74" name="AutoShape 2">
          <a:extLst>
            <a:ext uri="{FF2B5EF4-FFF2-40B4-BE49-F238E27FC236}">
              <a16:creationId xmlns:a16="http://schemas.microsoft.com/office/drawing/2014/main" id="{C9BD73A0-A7E2-46C3-4B32-B468BBA2433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75" name="AutoShape 2">
          <a:extLst>
            <a:ext uri="{FF2B5EF4-FFF2-40B4-BE49-F238E27FC236}">
              <a16:creationId xmlns:a16="http://schemas.microsoft.com/office/drawing/2014/main" id="{1C7F390E-B2F1-75FA-73B0-0827DC24488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76" name="AutoShape 2">
          <a:extLst>
            <a:ext uri="{FF2B5EF4-FFF2-40B4-BE49-F238E27FC236}">
              <a16:creationId xmlns:a16="http://schemas.microsoft.com/office/drawing/2014/main" id="{FA0CFB1B-FC4D-2174-CB3B-8F542D3D656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77" name="AutoShape 2">
          <a:extLst>
            <a:ext uri="{FF2B5EF4-FFF2-40B4-BE49-F238E27FC236}">
              <a16:creationId xmlns:a16="http://schemas.microsoft.com/office/drawing/2014/main" id="{8064C3BD-41C2-F500-0767-886DD34FE6B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78" name="AutoShape 2">
          <a:extLst>
            <a:ext uri="{FF2B5EF4-FFF2-40B4-BE49-F238E27FC236}">
              <a16:creationId xmlns:a16="http://schemas.microsoft.com/office/drawing/2014/main" id="{6554C485-904E-6072-C68B-588F65E192A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79" name="AutoShape 2">
          <a:extLst>
            <a:ext uri="{FF2B5EF4-FFF2-40B4-BE49-F238E27FC236}">
              <a16:creationId xmlns:a16="http://schemas.microsoft.com/office/drawing/2014/main" id="{C5639443-668F-8994-DA71-0CC6F259B33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80" name="AutoShape 2">
          <a:extLst>
            <a:ext uri="{FF2B5EF4-FFF2-40B4-BE49-F238E27FC236}">
              <a16:creationId xmlns:a16="http://schemas.microsoft.com/office/drawing/2014/main" id="{4F622093-527B-67A6-B4DA-128E600DC86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81" name="AutoShape 2">
          <a:extLst>
            <a:ext uri="{FF2B5EF4-FFF2-40B4-BE49-F238E27FC236}">
              <a16:creationId xmlns:a16="http://schemas.microsoft.com/office/drawing/2014/main" id="{00DAB11B-D070-D62E-F859-86A7C451704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82" name="AutoShape 2">
          <a:extLst>
            <a:ext uri="{FF2B5EF4-FFF2-40B4-BE49-F238E27FC236}">
              <a16:creationId xmlns:a16="http://schemas.microsoft.com/office/drawing/2014/main" id="{A07E8249-4FAD-0580-8544-03ADD65EB27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83" name="AutoShape 2">
          <a:extLst>
            <a:ext uri="{FF2B5EF4-FFF2-40B4-BE49-F238E27FC236}">
              <a16:creationId xmlns:a16="http://schemas.microsoft.com/office/drawing/2014/main" id="{DCFF38D8-73D4-31E2-A92B-8F0BAD47B71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84" name="AutoShape 2">
          <a:extLst>
            <a:ext uri="{FF2B5EF4-FFF2-40B4-BE49-F238E27FC236}">
              <a16:creationId xmlns:a16="http://schemas.microsoft.com/office/drawing/2014/main" id="{3A721661-DBC4-CC55-AF3E-40327C59ACD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85" name="AutoShape 2">
          <a:extLst>
            <a:ext uri="{FF2B5EF4-FFF2-40B4-BE49-F238E27FC236}">
              <a16:creationId xmlns:a16="http://schemas.microsoft.com/office/drawing/2014/main" id="{D3B7B05A-CDD9-3134-477B-69FE41CAC3C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86" name="AutoShape 2">
          <a:extLst>
            <a:ext uri="{FF2B5EF4-FFF2-40B4-BE49-F238E27FC236}">
              <a16:creationId xmlns:a16="http://schemas.microsoft.com/office/drawing/2014/main" id="{F88A8044-8F2D-A72D-A65C-B25B90CDAF9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87" name="AutoShape 2">
          <a:extLst>
            <a:ext uri="{FF2B5EF4-FFF2-40B4-BE49-F238E27FC236}">
              <a16:creationId xmlns:a16="http://schemas.microsoft.com/office/drawing/2014/main" id="{108EBB82-BFE0-D8F3-ABED-C936E42F762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88" name="AutoShape 2">
          <a:extLst>
            <a:ext uri="{FF2B5EF4-FFF2-40B4-BE49-F238E27FC236}">
              <a16:creationId xmlns:a16="http://schemas.microsoft.com/office/drawing/2014/main" id="{3B8771CA-935A-9467-2F20-3958AA13F3B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89" name="AutoShape 2">
          <a:extLst>
            <a:ext uri="{FF2B5EF4-FFF2-40B4-BE49-F238E27FC236}">
              <a16:creationId xmlns:a16="http://schemas.microsoft.com/office/drawing/2014/main" id="{FCB0C4D9-51D0-0C6B-83A0-21E2C21C34A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90" name="AutoShape 2">
          <a:extLst>
            <a:ext uri="{FF2B5EF4-FFF2-40B4-BE49-F238E27FC236}">
              <a16:creationId xmlns:a16="http://schemas.microsoft.com/office/drawing/2014/main" id="{9A127BD1-3B57-1D0D-61A6-05EF7411055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91" name="AutoShape 2">
          <a:extLst>
            <a:ext uri="{FF2B5EF4-FFF2-40B4-BE49-F238E27FC236}">
              <a16:creationId xmlns:a16="http://schemas.microsoft.com/office/drawing/2014/main" id="{6BF11A7E-98E9-7A94-8DBA-A43B4F19DB3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92" name="AutoShape 2">
          <a:extLst>
            <a:ext uri="{FF2B5EF4-FFF2-40B4-BE49-F238E27FC236}">
              <a16:creationId xmlns:a16="http://schemas.microsoft.com/office/drawing/2014/main" id="{C4888D27-5AE7-D403-372C-19E4EB197DF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93" name="AutoShape 2">
          <a:extLst>
            <a:ext uri="{FF2B5EF4-FFF2-40B4-BE49-F238E27FC236}">
              <a16:creationId xmlns:a16="http://schemas.microsoft.com/office/drawing/2014/main" id="{C2B17498-B2D1-33A9-C4F7-332AA7E4399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94" name="AutoShape 2">
          <a:extLst>
            <a:ext uri="{FF2B5EF4-FFF2-40B4-BE49-F238E27FC236}">
              <a16:creationId xmlns:a16="http://schemas.microsoft.com/office/drawing/2014/main" id="{85205301-24BC-74D3-B141-7E642CE6087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95" name="AutoShape 2">
          <a:extLst>
            <a:ext uri="{FF2B5EF4-FFF2-40B4-BE49-F238E27FC236}">
              <a16:creationId xmlns:a16="http://schemas.microsoft.com/office/drawing/2014/main" id="{FE88DD13-F305-3F52-6E4C-1794CBD9888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96" name="AutoShape 2">
          <a:extLst>
            <a:ext uri="{FF2B5EF4-FFF2-40B4-BE49-F238E27FC236}">
              <a16:creationId xmlns:a16="http://schemas.microsoft.com/office/drawing/2014/main" id="{1FFA123D-D5E8-D815-B893-15F85BFF571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97" name="AutoShape 2">
          <a:extLst>
            <a:ext uri="{FF2B5EF4-FFF2-40B4-BE49-F238E27FC236}">
              <a16:creationId xmlns:a16="http://schemas.microsoft.com/office/drawing/2014/main" id="{9D2A6CC6-4A42-35A0-0B7B-B0AD9B1D11E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98" name="AutoShape 2">
          <a:extLst>
            <a:ext uri="{FF2B5EF4-FFF2-40B4-BE49-F238E27FC236}">
              <a16:creationId xmlns:a16="http://schemas.microsoft.com/office/drawing/2014/main" id="{B6EC27B0-D90E-9CE9-7A59-22993F818F8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199" name="AutoShape 2">
          <a:extLst>
            <a:ext uri="{FF2B5EF4-FFF2-40B4-BE49-F238E27FC236}">
              <a16:creationId xmlns:a16="http://schemas.microsoft.com/office/drawing/2014/main" id="{42349522-1A7C-EE1A-EF1D-B943A0FBE30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00" name="AutoShape 2">
          <a:extLst>
            <a:ext uri="{FF2B5EF4-FFF2-40B4-BE49-F238E27FC236}">
              <a16:creationId xmlns:a16="http://schemas.microsoft.com/office/drawing/2014/main" id="{F29C7D60-40F7-390E-B394-F6C682BA2D2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01" name="AutoShape 2">
          <a:extLst>
            <a:ext uri="{FF2B5EF4-FFF2-40B4-BE49-F238E27FC236}">
              <a16:creationId xmlns:a16="http://schemas.microsoft.com/office/drawing/2014/main" id="{FB2184DD-DEB8-398F-B00A-E794755FFE2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02" name="AutoShape 2">
          <a:extLst>
            <a:ext uri="{FF2B5EF4-FFF2-40B4-BE49-F238E27FC236}">
              <a16:creationId xmlns:a16="http://schemas.microsoft.com/office/drawing/2014/main" id="{3345231B-00F3-BCBC-38B8-CC9CEC5EA9D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03" name="AutoShape 2">
          <a:extLst>
            <a:ext uri="{FF2B5EF4-FFF2-40B4-BE49-F238E27FC236}">
              <a16:creationId xmlns:a16="http://schemas.microsoft.com/office/drawing/2014/main" id="{675E82D8-86B8-7F1D-3399-E3E3874F51E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04" name="AutoShape 2">
          <a:extLst>
            <a:ext uri="{FF2B5EF4-FFF2-40B4-BE49-F238E27FC236}">
              <a16:creationId xmlns:a16="http://schemas.microsoft.com/office/drawing/2014/main" id="{B70FCCE1-FD06-5FC7-3885-2B4302A5FBA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05" name="AutoShape 2">
          <a:extLst>
            <a:ext uri="{FF2B5EF4-FFF2-40B4-BE49-F238E27FC236}">
              <a16:creationId xmlns:a16="http://schemas.microsoft.com/office/drawing/2014/main" id="{A4C245B1-897C-956A-FBAE-ABB3A750A87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06" name="AutoShape 2">
          <a:extLst>
            <a:ext uri="{FF2B5EF4-FFF2-40B4-BE49-F238E27FC236}">
              <a16:creationId xmlns:a16="http://schemas.microsoft.com/office/drawing/2014/main" id="{8764CD70-A002-466F-EAC4-44C0AEEA839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07" name="AutoShape 2">
          <a:extLst>
            <a:ext uri="{FF2B5EF4-FFF2-40B4-BE49-F238E27FC236}">
              <a16:creationId xmlns:a16="http://schemas.microsoft.com/office/drawing/2014/main" id="{E503D8A9-AC51-71B3-8B0D-289BBEF451E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08" name="AutoShape 2">
          <a:extLst>
            <a:ext uri="{FF2B5EF4-FFF2-40B4-BE49-F238E27FC236}">
              <a16:creationId xmlns:a16="http://schemas.microsoft.com/office/drawing/2014/main" id="{AA215A01-78A3-12EE-7290-A70ADA77286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09" name="AutoShape 2">
          <a:extLst>
            <a:ext uri="{FF2B5EF4-FFF2-40B4-BE49-F238E27FC236}">
              <a16:creationId xmlns:a16="http://schemas.microsoft.com/office/drawing/2014/main" id="{8217D2A0-A4CE-4F0C-D344-F08CE5FC2B5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10" name="AutoShape 2">
          <a:extLst>
            <a:ext uri="{FF2B5EF4-FFF2-40B4-BE49-F238E27FC236}">
              <a16:creationId xmlns:a16="http://schemas.microsoft.com/office/drawing/2014/main" id="{29D5ACC1-E68F-9548-901E-680BDCAB47E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11" name="AutoShape 2">
          <a:extLst>
            <a:ext uri="{FF2B5EF4-FFF2-40B4-BE49-F238E27FC236}">
              <a16:creationId xmlns:a16="http://schemas.microsoft.com/office/drawing/2014/main" id="{E7037D02-7A0F-A9F5-5A68-0EBC7D75DE9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12" name="AutoShape 2">
          <a:extLst>
            <a:ext uri="{FF2B5EF4-FFF2-40B4-BE49-F238E27FC236}">
              <a16:creationId xmlns:a16="http://schemas.microsoft.com/office/drawing/2014/main" id="{75825741-DCEA-43AA-6751-B31F1E662CC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13" name="AutoShape 2">
          <a:extLst>
            <a:ext uri="{FF2B5EF4-FFF2-40B4-BE49-F238E27FC236}">
              <a16:creationId xmlns:a16="http://schemas.microsoft.com/office/drawing/2014/main" id="{49D05135-563A-2EDA-5E8D-23D060A2337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14" name="AutoShape 2">
          <a:extLst>
            <a:ext uri="{FF2B5EF4-FFF2-40B4-BE49-F238E27FC236}">
              <a16:creationId xmlns:a16="http://schemas.microsoft.com/office/drawing/2014/main" id="{64A4647F-DF9C-37D5-AE12-66C93F8F04E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15" name="AutoShape 2">
          <a:extLst>
            <a:ext uri="{FF2B5EF4-FFF2-40B4-BE49-F238E27FC236}">
              <a16:creationId xmlns:a16="http://schemas.microsoft.com/office/drawing/2014/main" id="{8B890CD5-A487-33A4-817D-C2B142A0B7A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16" name="AutoShape 2">
          <a:extLst>
            <a:ext uri="{FF2B5EF4-FFF2-40B4-BE49-F238E27FC236}">
              <a16:creationId xmlns:a16="http://schemas.microsoft.com/office/drawing/2014/main" id="{77D68E38-7C8E-E2E0-7328-049C83101DF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17" name="AutoShape 2">
          <a:extLst>
            <a:ext uri="{FF2B5EF4-FFF2-40B4-BE49-F238E27FC236}">
              <a16:creationId xmlns:a16="http://schemas.microsoft.com/office/drawing/2014/main" id="{E6E438A6-2004-73E8-0C56-DC3A1C37CDA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18" name="AutoShape 2">
          <a:extLst>
            <a:ext uri="{FF2B5EF4-FFF2-40B4-BE49-F238E27FC236}">
              <a16:creationId xmlns:a16="http://schemas.microsoft.com/office/drawing/2014/main" id="{C7F08DA3-4CA9-774A-7732-E52FC2D38CC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19" name="AutoShape 2">
          <a:extLst>
            <a:ext uri="{FF2B5EF4-FFF2-40B4-BE49-F238E27FC236}">
              <a16:creationId xmlns:a16="http://schemas.microsoft.com/office/drawing/2014/main" id="{3909A437-7BFE-DB04-313C-2E27DA9E2D0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20" name="AutoShape 2">
          <a:extLst>
            <a:ext uri="{FF2B5EF4-FFF2-40B4-BE49-F238E27FC236}">
              <a16:creationId xmlns:a16="http://schemas.microsoft.com/office/drawing/2014/main" id="{E120A68A-5B91-C998-8802-B95D5F84298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21" name="AutoShape 2">
          <a:extLst>
            <a:ext uri="{FF2B5EF4-FFF2-40B4-BE49-F238E27FC236}">
              <a16:creationId xmlns:a16="http://schemas.microsoft.com/office/drawing/2014/main" id="{1FC0681F-D6CB-786D-06A9-F9DC02935CD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22" name="AutoShape 2">
          <a:extLst>
            <a:ext uri="{FF2B5EF4-FFF2-40B4-BE49-F238E27FC236}">
              <a16:creationId xmlns:a16="http://schemas.microsoft.com/office/drawing/2014/main" id="{6F5E19A2-FA05-1208-8AFD-E599D84C686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23" name="AutoShape 2">
          <a:extLst>
            <a:ext uri="{FF2B5EF4-FFF2-40B4-BE49-F238E27FC236}">
              <a16:creationId xmlns:a16="http://schemas.microsoft.com/office/drawing/2014/main" id="{64DDB027-F3B0-1AB1-3556-1EE47895FF9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24" name="AutoShape 2">
          <a:extLst>
            <a:ext uri="{FF2B5EF4-FFF2-40B4-BE49-F238E27FC236}">
              <a16:creationId xmlns:a16="http://schemas.microsoft.com/office/drawing/2014/main" id="{6C98F98B-7391-9E41-84BE-413EF6AF700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25" name="AutoShape 2">
          <a:extLst>
            <a:ext uri="{FF2B5EF4-FFF2-40B4-BE49-F238E27FC236}">
              <a16:creationId xmlns:a16="http://schemas.microsoft.com/office/drawing/2014/main" id="{2881681E-0438-8D21-A6E0-BA4427783E3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26" name="AutoShape 2">
          <a:extLst>
            <a:ext uri="{FF2B5EF4-FFF2-40B4-BE49-F238E27FC236}">
              <a16:creationId xmlns:a16="http://schemas.microsoft.com/office/drawing/2014/main" id="{46689E49-C4FC-DC52-59E5-093BA2418CE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27" name="AutoShape 2">
          <a:extLst>
            <a:ext uri="{FF2B5EF4-FFF2-40B4-BE49-F238E27FC236}">
              <a16:creationId xmlns:a16="http://schemas.microsoft.com/office/drawing/2014/main" id="{4F9F6EFF-356D-15C4-4020-8F767662B0C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28" name="AutoShape 2">
          <a:extLst>
            <a:ext uri="{FF2B5EF4-FFF2-40B4-BE49-F238E27FC236}">
              <a16:creationId xmlns:a16="http://schemas.microsoft.com/office/drawing/2014/main" id="{3B0A392F-6453-7984-2826-91B330B3352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29" name="AutoShape 2">
          <a:extLst>
            <a:ext uri="{FF2B5EF4-FFF2-40B4-BE49-F238E27FC236}">
              <a16:creationId xmlns:a16="http://schemas.microsoft.com/office/drawing/2014/main" id="{EE8EF1A2-74C9-338D-1C9C-4129487EAAB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30" name="AutoShape 2">
          <a:extLst>
            <a:ext uri="{FF2B5EF4-FFF2-40B4-BE49-F238E27FC236}">
              <a16:creationId xmlns:a16="http://schemas.microsoft.com/office/drawing/2014/main" id="{33B178F6-4CF0-BE3A-6287-0C908374C38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31" name="AutoShape 2">
          <a:extLst>
            <a:ext uri="{FF2B5EF4-FFF2-40B4-BE49-F238E27FC236}">
              <a16:creationId xmlns:a16="http://schemas.microsoft.com/office/drawing/2014/main" id="{805AEA47-80DA-A150-D248-0D413A4A86F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32" name="AutoShape 2">
          <a:extLst>
            <a:ext uri="{FF2B5EF4-FFF2-40B4-BE49-F238E27FC236}">
              <a16:creationId xmlns:a16="http://schemas.microsoft.com/office/drawing/2014/main" id="{102282BD-9B68-99FD-F40E-09285CDFEBF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33" name="AutoShape 2">
          <a:extLst>
            <a:ext uri="{FF2B5EF4-FFF2-40B4-BE49-F238E27FC236}">
              <a16:creationId xmlns:a16="http://schemas.microsoft.com/office/drawing/2014/main" id="{2BC48EDA-16ED-D9B7-ACEF-38F1166A383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34" name="AutoShape 2">
          <a:extLst>
            <a:ext uri="{FF2B5EF4-FFF2-40B4-BE49-F238E27FC236}">
              <a16:creationId xmlns:a16="http://schemas.microsoft.com/office/drawing/2014/main" id="{DBDC76FA-9B23-7D28-8D4B-BAF81B56604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35" name="AutoShape 2">
          <a:extLst>
            <a:ext uri="{FF2B5EF4-FFF2-40B4-BE49-F238E27FC236}">
              <a16:creationId xmlns:a16="http://schemas.microsoft.com/office/drawing/2014/main" id="{BF9FCC8A-301F-9BD5-FB3A-5F9E62EDA6B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36" name="AutoShape 2">
          <a:extLst>
            <a:ext uri="{FF2B5EF4-FFF2-40B4-BE49-F238E27FC236}">
              <a16:creationId xmlns:a16="http://schemas.microsoft.com/office/drawing/2014/main" id="{C8D393A1-D829-1D81-AE28-3A4BEFB79BC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37" name="AutoShape 2">
          <a:extLst>
            <a:ext uri="{FF2B5EF4-FFF2-40B4-BE49-F238E27FC236}">
              <a16:creationId xmlns:a16="http://schemas.microsoft.com/office/drawing/2014/main" id="{E0D1F127-27E0-50EA-CB31-3B0C49D8B17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38" name="AutoShape 2">
          <a:extLst>
            <a:ext uri="{FF2B5EF4-FFF2-40B4-BE49-F238E27FC236}">
              <a16:creationId xmlns:a16="http://schemas.microsoft.com/office/drawing/2014/main" id="{C04F3CF5-9B29-7E5B-50E7-C9314872E68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39" name="AutoShape 2">
          <a:extLst>
            <a:ext uri="{FF2B5EF4-FFF2-40B4-BE49-F238E27FC236}">
              <a16:creationId xmlns:a16="http://schemas.microsoft.com/office/drawing/2014/main" id="{4AA50CCF-2435-F383-9BD5-5560F595210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40" name="AutoShape 2">
          <a:extLst>
            <a:ext uri="{FF2B5EF4-FFF2-40B4-BE49-F238E27FC236}">
              <a16:creationId xmlns:a16="http://schemas.microsoft.com/office/drawing/2014/main" id="{EDB42321-5242-52F9-C54A-5772EEA5221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41" name="AutoShape 2">
          <a:extLst>
            <a:ext uri="{FF2B5EF4-FFF2-40B4-BE49-F238E27FC236}">
              <a16:creationId xmlns:a16="http://schemas.microsoft.com/office/drawing/2014/main" id="{630A252A-574A-46B1-ADC7-A2261604824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42" name="AutoShape 2">
          <a:extLst>
            <a:ext uri="{FF2B5EF4-FFF2-40B4-BE49-F238E27FC236}">
              <a16:creationId xmlns:a16="http://schemas.microsoft.com/office/drawing/2014/main" id="{43DBE144-24C8-7B1C-31DC-04DACF16216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43" name="AutoShape 2">
          <a:extLst>
            <a:ext uri="{FF2B5EF4-FFF2-40B4-BE49-F238E27FC236}">
              <a16:creationId xmlns:a16="http://schemas.microsoft.com/office/drawing/2014/main" id="{B44DA52E-89FA-A667-E88C-70ABCD3E1BB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44" name="AutoShape 2">
          <a:extLst>
            <a:ext uri="{FF2B5EF4-FFF2-40B4-BE49-F238E27FC236}">
              <a16:creationId xmlns:a16="http://schemas.microsoft.com/office/drawing/2014/main" id="{674602E7-257E-3EF8-7660-A4B04EB8810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45" name="AutoShape 2">
          <a:extLst>
            <a:ext uri="{FF2B5EF4-FFF2-40B4-BE49-F238E27FC236}">
              <a16:creationId xmlns:a16="http://schemas.microsoft.com/office/drawing/2014/main" id="{9EE13C91-23CE-B199-ADAA-D65F4ABC0AE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46" name="AutoShape 2">
          <a:extLst>
            <a:ext uri="{FF2B5EF4-FFF2-40B4-BE49-F238E27FC236}">
              <a16:creationId xmlns:a16="http://schemas.microsoft.com/office/drawing/2014/main" id="{BD043892-DA4E-0AB7-6273-612ED02C94C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47" name="AutoShape 2">
          <a:extLst>
            <a:ext uri="{FF2B5EF4-FFF2-40B4-BE49-F238E27FC236}">
              <a16:creationId xmlns:a16="http://schemas.microsoft.com/office/drawing/2014/main" id="{B1D7660B-92AA-0D51-0883-7F7BC70D558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48" name="AutoShape 2">
          <a:extLst>
            <a:ext uri="{FF2B5EF4-FFF2-40B4-BE49-F238E27FC236}">
              <a16:creationId xmlns:a16="http://schemas.microsoft.com/office/drawing/2014/main" id="{51410A64-BF14-3FFC-F51F-82A6D8B5D46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49" name="AutoShape 2">
          <a:extLst>
            <a:ext uri="{FF2B5EF4-FFF2-40B4-BE49-F238E27FC236}">
              <a16:creationId xmlns:a16="http://schemas.microsoft.com/office/drawing/2014/main" id="{E8FEA992-3E32-785C-8D1A-47D0D1B2F6A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50" name="AutoShape 2">
          <a:extLst>
            <a:ext uri="{FF2B5EF4-FFF2-40B4-BE49-F238E27FC236}">
              <a16:creationId xmlns:a16="http://schemas.microsoft.com/office/drawing/2014/main" id="{39A6680C-23DA-3958-EE96-5218B4AC1B1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51" name="AutoShape 2">
          <a:extLst>
            <a:ext uri="{FF2B5EF4-FFF2-40B4-BE49-F238E27FC236}">
              <a16:creationId xmlns:a16="http://schemas.microsoft.com/office/drawing/2014/main" id="{03DBB4B2-7F87-F748-3111-DBA4C33367D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52" name="AutoShape 2">
          <a:extLst>
            <a:ext uri="{FF2B5EF4-FFF2-40B4-BE49-F238E27FC236}">
              <a16:creationId xmlns:a16="http://schemas.microsoft.com/office/drawing/2014/main" id="{4DBEAA29-C010-A421-AF6B-B9FDD3E80CF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53" name="AutoShape 2">
          <a:extLst>
            <a:ext uri="{FF2B5EF4-FFF2-40B4-BE49-F238E27FC236}">
              <a16:creationId xmlns:a16="http://schemas.microsoft.com/office/drawing/2014/main" id="{577DB55C-FD25-26C5-58B5-D663BC4B7C8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54" name="AutoShape 2">
          <a:extLst>
            <a:ext uri="{FF2B5EF4-FFF2-40B4-BE49-F238E27FC236}">
              <a16:creationId xmlns:a16="http://schemas.microsoft.com/office/drawing/2014/main" id="{D6BB6A57-138B-22F7-10E7-3EAA6BAD6BC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55" name="AutoShape 2">
          <a:extLst>
            <a:ext uri="{FF2B5EF4-FFF2-40B4-BE49-F238E27FC236}">
              <a16:creationId xmlns:a16="http://schemas.microsoft.com/office/drawing/2014/main" id="{0E996A01-FC77-86E5-DEE8-2B403BBFDA3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56" name="AutoShape 2">
          <a:extLst>
            <a:ext uri="{FF2B5EF4-FFF2-40B4-BE49-F238E27FC236}">
              <a16:creationId xmlns:a16="http://schemas.microsoft.com/office/drawing/2014/main" id="{7EF28801-6397-2996-9551-0C847F27CD7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57" name="AutoShape 2">
          <a:extLst>
            <a:ext uri="{FF2B5EF4-FFF2-40B4-BE49-F238E27FC236}">
              <a16:creationId xmlns:a16="http://schemas.microsoft.com/office/drawing/2014/main" id="{048D836E-72AE-C4E9-DFB3-FEBC36D3214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58" name="AutoShape 2">
          <a:extLst>
            <a:ext uri="{FF2B5EF4-FFF2-40B4-BE49-F238E27FC236}">
              <a16:creationId xmlns:a16="http://schemas.microsoft.com/office/drawing/2014/main" id="{A8D2DAD3-242E-51E4-5B47-894EE915683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59" name="AutoShape 2">
          <a:extLst>
            <a:ext uri="{FF2B5EF4-FFF2-40B4-BE49-F238E27FC236}">
              <a16:creationId xmlns:a16="http://schemas.microsoft.com/office/drawing/2014/main" id="{2C348BB4-4510-77E7-2A78-C3845ED2A60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60" name="AutoShape 2">
          <a:extLst>
            <a:ext uri="{FF2B5EF4-FFF2-40B4-BE49-F238E27FC236}">
              <a16:creationId xmlns:a16="http://schemas.microsoft.com/office/drawing/2014/main" id="{F7639416-A386-FE42-6546-E370F74088A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61" name="AutoShape 2">
          <a:extLst>
            <a:ext uri="{FF2B5EF4-FFF2-40B4-BE49-F238E27FC236}">
              <a16:creationId xmlns:a16="http://schemas.microsoft.com/office/drawing/2014/main" id="{E499EBEF-DBB9-5B92-DAF7-05D02943EDE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62" name="AutoShape 2">
          <a:extLst>
            <a:ext uri="{FF2B5EF4-FFF2-40B4-BE49-F238E27FC236}">
              <a16:creationId xmlns:a16="http://schemas.microsoft.com/office/drawing/2014/main" id="{C4A5E434-4F1C-896F-7C02-A1B73DB8111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63" name="AutoShape 2">
          <a:extLst>
            <a:ext uri="{FF2B5EF4-FFF2-40B4-BE49-F238E27FC236}">
              <a16:creationId xmlns:a16="http://schemas.microsoft.com/office/drawing/2014/main" id="{3732FD25-BFF9-5AB3-5ABC-A9045CE6F5B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64" name="AutoShape 2">
          <a:extLst>
            <a:ext uri="{FF2B5EF4-FFF2-40B4-BE49-F238E27FC236}">
              <a16:creationId xmlns:a16="http://schemas.microsoft.com/office/drawing/2014/main" id="{D93E4512-FD7C-22A9-DB7C-74FB4116557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65" name="AutoShape 2">
          <a:extLst>
            <a:ext uri="{FF2B5EF4-FFF2-40B4-BE49-F238E27FC236}">
              <a16:creationId xmlns:a16="http://schemas.microsoft.com/office/drawing/2014/main" id="{F3C61B92-4D96-AA10-F41C-D100BA817CF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66" name="AutoShape 2">
          <a:extLst>
            <a:ext uri="{FF2B5EF4-FFF2-40B4-BE49-F238E27FC236}">
              <a16:creationId xmlns:a16="http://schemas.microsoft.com/office/drawing/2014/main" id="{0F847315-9812-D030-4FE8-1A180C2D7AE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67" name="AutoShape 2">
          <a:extLst>
            <a:ext uri="{FF2B5EF4-FFF2-40B4-BE49-F238E27FC236}">
              <a16:creationId xmlns:a16="http://schemas.microsoft.com/office/drawing/2014/main" id="{1A668A30-F2C2-FDAF-A2BF-D626BE97660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68" name="AutoShape 2">
          <a:extLst>
            <a:ext uri="{FF2B5EF4-FFF2-40B4-BE49-F238E27FC236}">
              <a16:creationId xmlns:a16="http://schemas.microsoft.com/office/drawing/2014/main" id="{C80E694F-562F-8A2A-CB9B-AD501A07388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69" name="AutoShape 2">
          <a:extLst>
            <a:ext uri="{FF2B5EF4-FFF2-40B4-BE49-F238E27FC236}">
              <a16:creationId xmlns:a16="http://schemas.microsoft.com/office/drawing/2014/main" id="{64DFD7D3-6535-9528-494E-C4ECBE7155C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70" name="AutoShape 2">
          <a:extLst>
            <a:ext uri="{FF2B5EF4-FFF2-40B4-BE49-F238E27FC236}">
              <a16:creationId xmlns:a16="http://schemas.microsoft.com/office/drawing/2014/main" id="{DC075521-8F4E-5450-D374-4F9FEFC503E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71" name="AutoShape 2">
          <a:extLst>
            <a:ext uri="{FF2B5EF4-FFF2-40B4-BE49-F238E27FC236}">
              <a16:creationId xmlns:a16="http://schemas.microsoft.com/office/drawing/2014/main" id="{4422FA75-ADE6-FD61-B218-6BF195BE116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72" name="AutoShape 2">
          <a:extLst>
            <a:ext uri="{FF2B5EF4-FFF2-40B4-BE49-F238E27FC236}">
              <a16:creationId xmlns:a16="http://schemas.microsoft.com/office/drawing/2014/main" id="{D72EB229-FD5A-9D16-E51F-E4799A270A8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73" name="AutoShape 2">
          <a:extLst>
            <a:ext uri="{FF2B5EF4-FFF2-40B4-BE49-F238E27FC236}">
              <a16:creationId xmlns:a16="http://schemas.microsoft.com/office/drawing/2014/main" id="{0D6859A9-FA35-95A4-6888-7200CBAE3B5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74" name="AutoShape 2">
          <a:extLst>
            <a:ext uri="{FF2B5EF4-FFF2-40B4-BE49-F238E27FC236}">
              <a16:creationId xmlns:a16="http://schemas.microsoft.com/office/drawing/2014/main" id="{DB48BF5B-7FD1-DD12-4202-8AC213395EF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75" name="AutoShape 2">
          <a:extLst>
            <a:ext uri="{FF2B5EF4-FFF2-40B4-BE49-F238E27FC236}">
              <a16:creationId xmlns:a16="http://schemas.microsoft.com/office/drawing/2014/main" id="{F94DF709-B7E2-1F7D-11A2-6149E8BBEEF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76" name="AutoShape 2">
          <a:extLst>
            <a:ext uri="{FF2B5EF4-FFF2-40B4-BE49-F238E27FC236}">
              <a16:creationId xmlns:a16="http://schemas.microsoft.com/office/drawing/2014/main" id="{8CC8F0A3-EE80-0F4A-58A2-23A1425C369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77" name="AutoShape 2">
          <a:extLst>
            <a:ext uri="{FF2B5EF4-FFF2-40B4-BE49-F238E27FC236}">
              <a16:creationId xmlns:a16="http://schemas.microsoft.com/office/drawing/2014/main" id="{F72320DD-8894-7DCB-14B0-BEE52F135F8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78" name="AutoShape 2">
          <a:extLst>
            <a:ext uri="{FF2B5EF4-FFF2-40B4-BE49-F238E27FC236}">
              <a16:creationId xmlns:a16="http://schemas.microsoft.com/office/drawing/2014/main" id="{0F7940C5-C54B-EA76-20BD-0F8B875B569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79" name="AutoShape 2">
          <a:extLst>
            <a:ext uri="{FF2B5EF4-FFF2-40B4-BE49-F238E27FC236}">
              <a16:creationId xmlns:a16="http://schemas.microsoft.com/office/drawing/2014/main" id="{495BD9A3-C587-EF73-7895-9091C748D52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80" name="AutoShape 2">
          <a:extLst>
            <a:ext uri="{FF2B5EF4-FFF2-40B4-BE49-F238E27FC236}">
              <a16:creationId xmlns:a16="http://schemas.microsoft.com/office/drawing/2014/main" id="{57FC3AF3-3CF7-64E7-E341-3318DBA0BC8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81" name="AutoShape 2">
          <a:extLst>
            <a:ext uri="{FF2B5EF4-FFF2-40B4-BE49-F238E27FC236}">
              <a16:creationId xmlns:a16="http://schemas.microsoft.com/office/drawing/2014/main" id="{A6BC4BB3-22CC-ADFE-8AF8-972EFC06B0D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82" name="AutoShape 2">
          <a:extLst>
            <a:ext uri="{FF2B5EF4-FFF2-40B4-BE49-F238E27FC236}">
              <a16:creationId xmlns:a16="http://schemas.microsoft.com/office/drawing/2014/main" id="{F2173D6E-FC14-EACB-7249-347918DBDB2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83" name="AutoShape 2">
          <a:extLst>
            <a:ext uri="{FF2B5EF4-FFF2-40B4-BE49-F238E27FC236}">
              <a16:creationId xmlns:a16="http://schemas.microsoft.com/office/drawing/2014/main" id="{2579620F-6600-B6EC-4EB8-5EE8A98C00E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84" name="AutoShape 2">
          <a:extLst>
            <a:ext uri="{FF2B5EF4-FFF2-40B4-BE49-F238E27FC236}">
              <a16:creationId xmlns:a16="http://schemas.microsoft.com/office/drawing/2014/main" id="{45FE1D6B-5D0E-F163-6AD8-0AC067C0284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85" name="AutoShape 2">
          <a:extLst>
            <a:ext uri="{FF2B5EF4-FFF2-40B4-BE49-F238E27FC236}">
              <a16:creationId xmlns:a16="http://schemas.microsoft.com/office/drawing/2014/main" id="{F5CE047F-9685-D75E-639B-995C03DD3D8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86" name="AutoShape 2">
          <a:extLst>
            <a:ext uri="{FF2B5EF4-FFF2-40B4-BE49-F238E27FC236}">
              <a16:creationId xmlns:a16="http://schemas.microsoft.com/office/drawing/2014/main" id="{9F935AE7-DAA4-BDFC-2E92-6A754E1E36B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87" name="AutoShape 2">
          <a:extLst>
            <a:ext uri="{FF2B5EF4-FFF2-40B4-BE49-F238E27FC236}">
              <a16:creationId xmlns:a16="http://schemas.microsoft.com/office/drawing/2014/main" id="{C2E83446-2ABC-863C-9796-DD5C6FED11C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88" name="AutoShape 2">
          <a:extLst>
            <a:ext uri="{FF2B5EF4-FFF2-40B4-BE49-F238E27FC236}">
              <a16:creationId xmlns:a16="http://schemas.microsoft.com/office/drawing/2014/main" id="{9F882B2A-A4C8-0A04-2A8E-594FD0ED4C5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89" name="AutoShape 2">
          <a:extLst>
            <a:ext uri="{FF2B5EF4-FFF2-40B4-BE49-F238E27FC236}">
              <a16:creationId xmlns:a16="http://schemas.microsoft.com/office/drawing/2014/main" id="{01148497-E966-4D59-3422-B9F9ABCC380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90" name="AutoShape 2">
          <a:extLst>
            <a:ext uri="{FF2B5EF4-FFF2-40B4-BE49-F238E27FC236}">
              <a16:creationId xmlns:a16="http://schemas.microsoft.com/office/drawing/2014/main" id="{A0D05BCC-4BAA-18F2-9BC6-C1AF0B3E083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91" name="AutoShape 2">
          <a:extLst>
            <a:ext uri="{FF2B5EF4-FFF2-40B4-BE49-F238E27FC236}">
              <a16:creationId xmlns:a16="http://schemas.microsoft.com/office/drawing/2014/main" id="{2632AB9D-37D7-8DC9-C473-E9DD6947796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92" name="AutoShape 2">
          <a:extLst>
            <a:ext uri="{FF2B5EF4-FFF2-40B4-BE49-F238E27FC236}">
              <a16:creationId xmlns:a16="http://schemas.microsoft.com/office/drawing/2014/main" id="{51A29E2D-9EC0-CBE3-9AA0-815548D50A9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93" name="AutoShape 2">
          <a:extLst>
            <a:ext uri="{FF2B5EF4-FFF2-40B4-BE49-F238E27FC236}">
              <a16:creationId xmlns:a16="http://schemas.microsoft.com/office/drawing/2014/main" id="{4FF83AB2-B834-AE3D-1262-CA53801D57D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94" name="AutoShape 2">
          <a:extLst>
            <a:ext uri="{FF2B5EF4-FFF2-40B4-BE49-F238E27FC236}">
              <a16:creationId xmlns:a16="http://schemas.microsoft.com/office/drawing/2014/main" id="{29D986F4-056E-FDB8-8A25-74CB9CBC950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95" name="AutoShape 2">
          <a:extLst>
            <a:ext uri="{FF2B5EF4-FFF2-40B4-BE49-F238E27FC236}">
              <a16:creationId xmlns:a16="http://schemas.microsoft.com/office/drawing/2014/main" id="{DF12C92F-D7C2-9CDA-8C64-991CC6C597C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96" name="AutoShape 2">
          <a:extLst>
            <a:ext uri="{FF2B5EF4-FFF2-40B4-BE49-F238E27FC236}">
              <a16:creationId xmlns:a16="http://schemas.microsoft.com/office/drawing/2014/main" id="{EEA54FEB-B5BB-EA91-3491-44D5B1A7707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97" name="AutoShape 2">
          <a:extLst>
            <a:ext uri="{FF2B5EF4-FFF2-40B4-BE49-F238E27FC236}">
              <a16:creationId xmlns:a16="http://schemas.microsoft.com/office/drawing/2014/main" id="{5B27738B-AD94-64DB-534A-278885DC828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98" name="AutoShape 2">
          <a:extLst>
            <a:ext uri="{FF2B5EF4-FFF2-40B4-BE49-F238E27FC236}">
              <a16:creationId xmlns:a16="http://schemas.microsoft.com/office/drawing/2014/main" id="{47EE9EC2-54FE-AF8B-F344-6ACD44E4704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299" name="AutoShape 2">
          <a:extLst>
            <a:ext uri="{FF2B5EF4-FFF2-40B4-BE49-F238E27FC236}">
              <a16:creationId xmlns:a16="http://schemas.microsoft.com/office/drawing/2014/main" id="{CDD6A173-7CA0-D785-3C17-D4C1E12D09F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00" name="AutoShape 2">
          <a:extLst>
            <a:ext uri="{FF2B5EF4-FFF2-40B4-BE49-F238E27FC236}">
              <a16:creationId xmlns:a16="http://schemas.microsoft.com/office/drawing/2014/main" id="{E01BF7AC-F0D9-98A5-E8C8-1B72CE2B843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01" name="AutoShape 2">
          <a:extLst>
            <a:ext uri="{FF2B5EF4-FFF2-40B4-BE49-F238E27FC236}">
              <a16:creationId xmlns:a16="http://schemas.microsoft.com/office/drawing/2014/main" id="{B39A7811-46FF-28D1-8965-20901D77C2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02" name="AutoShape 2">
          <a:extLst>
            <a:ext uri="{FF2B5EF4-FFF2-40B4-BE49-F238E27FC236}">
              <a16:creationId xmlns:a16="http://schemas.microsoft.com/office/drawing/2014/main" id="{D4462D87-77EC-C5CB-DA62-33AA9121585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03" name="AutoShape 2">
          <a:extLst>
            <a:ext uri="{FF2B5EF4-FFF2-40B4-BE49-F238E27FC236}">
              <a16:creationId xmlns:a16="http://schemas.microsoft.com/office/drawing/2014/main" id="{887F6684-262C-92EF-2B3D-9B442054C77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04" name="AutoShape 2">
          <a:extLst>
            <a:ext uri="{FF2B5EF4-FFF2-40B4-BE49-F238E27FC236}">
              <a16:creationId xmlns:a16="http://schemas.microsoft.com/office/drawing/2014/main" id="{E7C81DBC-1EB7-6D0E-469E-F8193DDDC2A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05" name="AutoShape 2">
          <a:extLst>
            <a:ext uri="{FF2B5EF4-FFF2-40B4-BE49-F238E27FC236}">
              <a16:creationId xmlns:a16="http://schemas.microsoft.com/office/drawing/2014/main" id="{3D73B390-387E-C958-634E-4E211F939DE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06" name="AutoShape 2">
          <a:extLst>
            <a:ext uri="{FF2B5EF4-FFF2-40B4-BE49-F238E27FC236}">
              <a16:creationId xmlns:a16="http://schemas.microsoft.com/office/drawing/2014/main" id="{BAE2BF4C-9D83-863B-BA2B-3A60E27D7FD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07" name="AutoShape 2">
          <a:extLst>
            <a:ext uri="{FF2B5EF4-FFF2-40B4-BE49-F238E27FC236}">
              <a16:creationId xmlns:a16="http://schemas.microsoft.com/office/drawing/2014/main" id="{5D6CAB25-B012-8F06-C561-F2B8D8DD6F8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08" name="AutoShape 2">
          <a:extLst>
            <a:ext uri="{FF2B5EF4-FFF2-40B4-BE49-F238E27FC236}">
              <a16:creationId xmlns:a16="http://schemas.microsoft.com/office/drawing/2014/main" id="{4C67F953-24D1-EE86-56BB-6941778CDAD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09" name="AutoShape 2">
          <a:extLst>
            <a:ext uri="{FF2B5EF4-FFF2-40B4-BE49-F238E27FC236}">
              <a16:creationId xmlns:a16="http://schemas.microsoft.com/office/drawing/2014/main" id="{25083A55-5B11-E2CA-FE07-F94C24A2588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10" name="AutoShape 2">
          <a:extLst>
            <a:ext uri="{FF2B5EF4-FFF2-40B4-BE49-F238E27FC236}">
              <a16:creationId xmlns:a16="http://schemas.microsoft.com/office/drawing/2014/main" id="{1194BB50-B762-F47E-1825-0D3AB49CF98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11" name="AutoShape 2">
          <a:extLst>
            <a:ext uri="{FF2B5EF4-FFF2-40B4-BE49-F238E27FC236}">
              <a16:creationId xmlns:a16="http://schemas.microsoft.com/office/drawing/2014/main" id="{B35AC1B9-98FA-954F-B54F-0DE7812108C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12" name="AutoShape 2">
          <a:extLst>
            <a:ext uri="{FF2B5EF4-FFF2-40B4-BE49-F238E27FC236}">
              <a16:creationId xmlns:a16="http://schemas.microsoft.com/office/drawing/2014/main" id="{D959F625-E7CD-8A30-ACD7-A867B1A7133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13" name="AutoShape 2">
          <a:extLst>
            <a:ext uri="{FF2B5EF4-FFF2-40B4-BE49-F238E27FC236}">
              <a16:creationId xmlns:a16="http://schemas.microsoft.com/office/drawing/2014/main" id="{9AB82CEC-0A1A-6AAC-CCBB-2E1A1DDD9BB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14" name="AutoShape 2">
          <a:extLst>
            <a:ext uri="{FF2B5EF4-FFF2-40B4-BE49-F238E27FC236}">
              <a16:creationId xmlns:a16="http://schemas.microsoft.com/office/drawing/2014/main" id="{0409C432-A1B6-B379-2095-775193EEC5F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15" name="AutoShape 2">
          <a:extLst>
            <a:ext uri="{FF2B5EF4-FFF2-40B4-BE49-F238E27FC236}">
              <a16:creationId xmlns:a16="http://schemas.microsoft.com/office/drawing/2014/main" id="{746AF5B1-E008-3282-2F9D-096C028AA3D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16" name="AutoShape 2">
          <a:extLst>
            <a:ext uri="{FF2B5EF4-FFF2-40B4-BE49-F238E27FC236}">
              <a16:creationId xmlns:a16="http://schemas.microsoft.com/office/drawing/2014/main" id="{0B188694-E4AA-6FC7-3E62-933E652941D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17" name="AutoShape 2">
          <a:extLst>
            <a:ext uri="{FF2B5EF4-FFF2-40B4-BE49-F238E27FC236}">
              <a16:creationId xmlns:a16="http://schemas.microsoft.com/office/drawing/2014/main" id="{A384947F-53DF-0CE1-AF57-6D0CDA83DE2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18" name="AutoShape 2">
          <a:extLst>
            <a:ext uri="{FF2B5EF4-FFF2-40B4-BE49-F238E27FC236}">
              <a16:creationId xmlns:a16="http://schemas.microsoft.com/office/drawing/2014/main" id="{174BEF37-51D5-41B9-5560-544154B7B29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19" name="AutoShape 2">
          <a:extLst>
            <a:ext uri="{FF2B5EF4-FFF2-40B4-BE49-F238E27FC236}">
              <a16:creationId xmlns:a16="http://schemas.microsoft.com/office/drawing/2014/main" id="{48E425EF-A94F-B13A-9A44-A3A051112FE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20" name="AutoShape 2">
          <a:extLst>
            <a:ext uri="{FF2B5EF4-FFF2-40B4-BE49-F238E27FC236}">
              <a16:creationId xmlns:a16="http://schemas.microsoft.com/office/drawing/2014/main" id="{22117926-F529-192D-A543-92F84042DD7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21" name="AutoShape 2">
          <a:extLst>
            <a:ext uri="{FF2B5EF4-FFF2-40B4-BE49-F238E27FC236}">
              <a16:creationId xmlns:a16="http://schemas.microsoft.com/office/drawing/2014/main" id="{5969F095-3FE4-EDE8-8BA4-F25822CCEE6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22" name="AutoShape 2">
          <a:extLst>
            <a:ext uri="{FF2B5EF4-FFF2-40B4-BE49-F238E27FC236}">
              <a16:creationId xmlns:a16="http://schemas.microsoft.com/office/drawing/2014/main" id="{E03C7286-CA2E-99EA-18E1-288BE9A2DCD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23" name="AutoShape 2">
          <a:extLst>
            <a:ext uri="{FF2B5EF4-FFF2-40B4-BE49-F238E27FC236}">
              <a16:creationId xmlns:a16="http://schemas.microsoft.com/office/drawing/2014/main" id="{0B0AA07F-489F-CAED-7429-75FCDDF966A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24" name="AutoShape 2">
          <a:extLst>
            <a:ext uri="{FF2B5EF4-FFF2-40B4-BE49-F238E27FC236}">
              <a16:creationId xmlns:a16="http://schemas.microsoft.com/office/drawing/2014/main" id="{FA259359-5436-8E03-4B7A-2F75D621228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25" name="AutoShape 2">
          <a:extLst>
            <a:ext uri="{FF2B5EF4-FFF2-40B4-BE49-F238E27FC236}">
              <a16:creationId xmlns:a16="http://schemas.microsoft.com/office/drawing/2014/main" id="{C547AC30-C9C2-688C-1E8B-86AD3FAF208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26" name="AutoShape 2">
          <a:extLst>
            <a:ext uri="{FF2B5EF4-FFF2-40B4-BE49-F238E27FC236}">
              <a16:creationId xmlns:a16="http://schemas.microsoft.com/office/drawing/2014/main" id="{FCE01E0D-0CC4-1E8C-5735-843DB613DB0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27" name="AutoShape 2">
          <a:extLst>
            <a:ext uri="{FF2B5EF4-FFF2-40B4-BE49-F238E27FC236}">
              <a16:creationId xmlns:a16="http://schemas.microsoft.com/office/drawing/2014/main" id="{70AA8500-F001-31A0-6514-0707A570ADF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28" name="AutoShape 2">
          <a:extLst>
            <a:ext uri="{FF2B5EF4-FFF2-40B4-BE49-F238E27FC236}">
              <a16:creationId xmlns:a16="http://schemas.microsoft.com/office/drawing/2014/main" id="{5541E09B-49BF-4318-B665-F195475C7A1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29" name="AutoShape 2">
          <a:extLst>
            <a:ext uri="{FF2B5EF4-FFF2-40B4-BE49-F238E27FC236}">
              <a16:creationId xmlns:a16="http://schemas.microsoft.com/office/drawing/2014/main" id="{E2A1F1F8-B0F4-C5FB-35F8-D007FBC1DE9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30" name="AutoShape 2">
          <a:extLst>
            <a:ext uri="{FF2B5EF4-FFF2-40B4-BE49-F238E27FC236}">
              <a16:creationId xmlns:a16="http://schemas.microsoft.com/office/drawing/2014/main" id="{2E75F5A7-1EB2-8D12-B514-86D49C6796F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31" name="AutoShape 2">
          <a:extLst>
            <a:ext uri="{FF2B5EF4-FFF2-40B4-BE49-F238E27FC236}">
              <a16:creationId xmlns:a16="http://schemas.microsoft.com/office/drawing/2014/main" id="{9FE046F7-6553-55A4-C096-CA251C45991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32" name="AutoShape 2">
          <a:extLst>
            <a:ext uri="{FF2B5EF4-FFF2-40B4-BE49-F238E27FC236}">
              <a16:creationId xmlns:a16="http://schemas.microsoft.com/office/drawing/2014/main" id="{705A1645-E45F-5774-BB34-C4D6D1B0943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33" name="AutoShape 2">
          <a:extLst>
            <a:ext uri="{FF2B5EF4-FFF2-40B4-BE49-F238E27FC236}">
              <a16:creationId xmlns:a16="http://schemas.microsoft.com/office/drawing/2014/main" id="{594BAC66-10FF-FB83-837C-96A87A81D6E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34" name="AutoShape 2">
          <a:extLst>
            <a:ext uri="{FF2B5EF4-FFF2-40B4-BE49-F238E27FC236}">
              <a16:creationId xmlns:a16="http://schemas.microsoft.com/office/drawing/2014/main" id="{8E07891B-C31B-E162-AEB4-843BDB3BBC6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35" name="AutoShape 2">
          <a:extLst>
            <a:ext uri="{FF2B5EF4-FFF2-40B4-BE49-F238E27FC236}">
              <a16:creationId xmlns:a16="http://schemas.microsoft.com/office/drawing/2014/main" id="{CB5BA1E4-6089-7D4B-81B3-BCAD0DADCA2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36" name="AutoShape 2">
          <a:extLst>
            <a:ext uri="{FF2B5EF4-FFF2-40B4-BE49-F238E27FC236}">
              <a16:creationId xmlns:a16="http://schemas.microsoft.com/office/drawing/2014/main" id="{9033FEE5-A135-A227-4FEB-07784D82ACE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37" name="AutoShape 2">
          <a:extLst>
            <a:ext uri="{FF2B5EF4-FFF2-40B4-BE49-F238E27FC236}">
              <a16:creationId xmlns:a16="http://schemas.microsoft.com/office/drawing/2014/main" id="{8EAA4524-1E68-12FF-8413-24358F54508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38" name="AutoShape 2">
          <a:extLst>
            <a:ext uri="{FF2B5EF4-FFF2-40B4-BE49-F238E27FC236}">
              <a16:creationId xmlns:a16="http://schemas.microsoft.com/office/drawing/2014/main" id="{DC7431BB-8789-BA46-2B62-365E77917A2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39" name="AutoShape 2">
          <a:extLst>
            <a:ext uri="{FF2B5EF4-FFF2-40B4-BE49-F238E27FC236}">
              <a16:creationId xmlns:a16="http://schemas.microsoft.com/office/drawing/2014/main" id="{7B9F1305-812D-2061-4D33-ABAC7BCA083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40" name="AutoShape 2">
          <a:extLst>
            <a:ext uri="{FF2B5EF4-FFF2-40B4-BE49-F238E27FC236}">
              <a16:creationId xmlns:a16="http://schemas.microsoft.com/office/drawing/2014/main" id="{F64F449B-C930-6522-FFFA-3FC3EE2F253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41" name="AutoShape 2">
          <a:extLst>
            <a:ext uri="{FF2B5EF4-FFF2-40B4-BE49-F238E27FC236}">
              <a16:creationId xmlns:a16="http://schemas.microsoft.com/office/drawing/2014/main" id="{8C1A92F5-B368-2AC7-B604-2EE1BADD731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42" name="AutoShape 2">
          <a:extLst>
            <a:ext uri="{FF2B5EF4-FFF2-40B4-BE49-F238E27FC236}">
              <a16:creationId xmlns:a16="http://schemas.microsoft.com/office/drawing/2014/main" id="{78329E34-599B-3304-37F3-2112BE14735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43" name="AutoShape 2">
          <a:extLst>
            <a:ext uri="{FF2B5EF4-FFF2-40B4-BE49-F238E27FC236}">
              <a16:creationId xmlns:a16="http://schemas.microsoft.com/office/drawing/2014/main" id="{F58BE5FD-CFA8-258B-8E5D-EC259920B8F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44" name="AutoShape 2">
          <a:extLst>
            <a:ext uri="{FF2B5EF4-FFF2-40B4-BE49-F238E27FC236}">
              <a16:creationId xmlns:a16="http://schemas.microsoft.com/office/drawing/2014/main" id="{E03B416D-F510-F710-60D9-AB713BC3204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45" name="AutoShape 2">
          <a:extLst>
            <a:ext uri="{FF2B5EF4-FFF2-40B4-BE49-F238E27FC236}">
              <a16:creationId xmlns:a16="http://schemas.microsoft.com/office/drawing/2014/main" id="{9098ED8C-50C5-63CB-5286-0E7373A9548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46" name="AutoShape 2">
          <a:extLst>
            <a:ext uri="{FF2B5EF4-FFF2-40B4-BE49-F238E27FC236}">
              <a16:creationId xmlns:a16="http://schemas.microsoft.com/office/drawing/2014/main" id="{C4BC6FC0-DB31-FE68-7C79-86805AAE95C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47" name="AutoShape 2">
          <a:extLst>
            <a:ext uri="{FF2B5EF4-FFF2-40B4-BE49-F238E27FC236}">
              <a16:creationId xmlns:a16="http://schemas.microsoft.com/office/drawing/2014/main" id="{752E79A0-6931-79AC-6DE2-562C0FABD91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48" name="AutoShape 2">
          <a:extLst>
            <a:ext uri="{FF2B5EF4-FFF2-40B4-BE49-F238E27FC236}">
              <a16:creationId xmlns:a16="http://schemas.microsoft.com/office/drawing/2014/main" id="{71798758-51EB-EBBE-F5AD-194FC201DCD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49" name="AutoShape 2">
          <a:extLst>
            <a:ext uri="{FF2B5EF4-FFF2-40B4-BE49-F238E27FC236}">
              <a16:creationId xmlns:a16="http://schemas.microsoft.com/office/drawing/2014/main" id="{C7232F43-2880-7E66-25B0-5E749525853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50" name="AutoShape 2">
          <a:extLst>
            <a:ext uri="{FF2B5EF4-FFF2-40B4-BE49-F238E27FC236}">
              <a16:creationId xmlns:a16="http://schemas.microsoft.com/office/drawing/2014/main" id="{FFBCC857-BFC1-A511-069A-4E3FB7D2F2D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51" name="AutoShape 2">
          <a:extLst>
            <a:ext uri="{FF2B5EF4-FFF2-40B4-BE49-F238E27FC236}">
              <a16:creationId xmlns:a16="http://schemas.microsoft.com/office/drawing/2014/main" id="{3C3AE632-AD35-F29A-5531-0EEBEA0386C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52" name="AutoShape 2">
          <a:extLst>
            <a:ext uri="{FF2B5EF4-FFF2-40B4-BE49-F238E27FC236}">
              <a16:creationId xmlns:a16="http://schemas.microsoft.com/office/drawing/2014/main" id="{6B709914-9A7D-B68F-D977-78BA656E382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53" name="AutoShape 2">
          <a:extLst>
            <a:ext uri="{FF2B5EF4-FFF2-40B4-BE49-F238E27FC236}">
              <a16:creationId xmlns:a16="http://schemas.microsoft.com/office/drawing/2014/main" id="{5522E69A-83B3-E316-6FA7-819EFE5214A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54" name="AutoShape 2">
          <a:extLst>
            <a:ext uri="{FF2B5EF4-FFF2-40B4-BE49-F238E27FC236}">
              <a16:creationId xmlns:a16="http://schemas.microsoft.com/office/drawing/2014/main" id="{A9A76553-281C-4A21-5681-2FD5E47F84A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55" name="AutoShape 2">
          <a:extLst>
            <a:ext uri="{FF2B5EF4-FFF2-40B4-BE49-F238E27FC236}">
              <a16:creationId xmlns:a16="http://schemas.microsoft.com/office/drawing/2014/main" id="{05189193-0BF2-49EC-34C2-3A305A8364C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56" name="AutoShape 2">
          <a:extLst>
            <a:ext uri="{FF2B5EF4-FFF2-40B4-BE49-F238E27FC236}">
              <a16:creationId xmlns:a16="http://schemas.microsoft.com/office/drawing/2014/main" id="{744F8E8F-8E45-F998-0C1D-7402203139C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57" name="AutoShape 2">
          <a:extLst>
            <a:ext uri="{FF2B5EF4-FFF2-40B4-BE49-F238E27FC236}">
              <a16:creationId xmlns:a16="http://schemas.microsoft.com/office/drawing/2014/main" id="{515F6D76-A0B9-F6EB-353D-8CDFF4A085D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58" name="AutoShape 2">
          <a:extLst>
            <a:ext uri="{FF2B5EF4-FFF2-40B4-BE49-F238E27FC236}">
              <a16:creationId xmlns:a16="http://schemas.microsoft.com/office/drawing/2014/main" id="{17AB5E78-261A-D53A-9194-CA31AD91097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59" name="AutoShape 2">
          <a:extLst>
            <a:ext uri="{FF2B5EF4-FFF2-40B4-BE49-F238E27FC236}">
              <a16:creationId xmlns:a16="http://schemas.microsoft.com/office/drawing/2014/main" id="{3E68BF4A-D8CC-281C-D9F6-9895346EA65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60" name="AutoShape 2">
          <a:extLst>
            <a:ext uri="{FF2B5EF4-FFF2-40B4-BE49-F238E27FC236}">
              <a16:creationId xmlns:a16="http://schemas.microsoft.com/office/drawing/2014/main" id="{E48F61BC-A153-7737-9338-8E2377DDD4B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61" name="AutoShape 2">
          <a:extLst>
            <a:ext uri="{FF2B5EF4-FFF2-40B4-BE49-F238E27FC236}">
              <a16:creationId xmlns:a16="http://schemas.microsoft.com/office/drawing/2014/main" id="{33D940D5-9A24-A251-3ED4-003E8234F72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62" name="AutoShape 2">
          <a:extLst>
            <a:ext uri="{FF2B5EF4-FFF2-40B4-BE49-F238E27FC236}">
              <a16:creationId xmlns:a16="http://schemas.microsoft.com/office/drawing/2014/main" id="{35F7F0A8-C134-7CAA-FCD5-DAFFD341E32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63" name="AutoShape 2">
          <a:extLst>
            <a:ext uri="{FF2B5EF4-FFF2-40B4-BE49-F238E27FC236}">
              <a16:creationId xmlns:a16="http://schemas.microsoft.com/office/drawing/2014/main" id="{EF3CA749-C707-5793-EBFC-728FB4AF6EC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64" name="AutoShape 2">
          <a:extLst>
            <a:ext uri="{FF2B5EF4-FFF2-40B4-BE49-F238E27FC236}">
              <a16:creationId xmlns:a16="http://schemas.microsoft.com/office/drawing/2014/main" id="{EA78E984-0760-48FB-B90E-0CD167E84DA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65" name="AutoShape 2">
          <a:extLst>
            <a:ext uri="{FF2B5EF4-FFF2-40B4-BE49-F238E27FC236}">
              <a16:creationId xmlns:a16="http://schemas.microsoft.com/office/drawing/2014/main" id="{FEA89F40-BD0D-89E2-50E5-6980DAACD00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66" name="AutoShape 2">
          <a:extLst>
            <a:ext uri="{FF2B5EF4-FFF2-40B4-BE49-F238E27FC236}">
              <a16:creationId xmlns:a16="http://schemas.microsoft.com/office/drawing/2014/main" id="{2F8A7348-4BA6-B6B7-3324-AE9B6CF3DFC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67" name="AutoShape 2">
          <a:extLst>
            <a:ext uri="{FF2B5EF4-FFF2-40B4-BE49-F238E27FC236}">
              <a16:creationId xmlns:a16="http://schemas.microsoft.com/office/drawing/2014/main" id="{C820FD13-D8C2-D0DF-52B2-70539F89C03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68" name="AutoShape 2">
          <a:extLst>
            <a:ext uri="{FF2B5EF4-FFF2-40B4-BE49-F238E27FC236}">
              <a16:creationId xmlns:a16="http://schemas.microsoft.com/office/drawing/2014/main" id="{47EC88EA-E173-CC3D-2FBE-B26805FBB61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69" name="AutoShape 2">
          <a:extLst>
            <a:ext uri="{FF2B5EF4-FFF2-40B4-BE49-F238E27FC236}">
              <a16:creationId xmlns:a16="http://schemas.microsoft.com/office/drawing/2014/main" id="{580E7647-4434-574A-88FB-85680013D4B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70" name="AutoShape 2">
          <a:extLst>
            <a:ext uri="{FF2B5EF4-FFF2-40B4-BE49-F238E27FC236}">
              <a16:creationId xmlns:a16="http://schemas.microsoft.com/office/drawing/2014/main" id="{CF00BC85-E429-B457-BA08-D8918EA61F6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71" name="AutoShape 2">
          <a:extLst>
            <a:ext uri="{FF2B5EF4-FFF2-40B4-BE49-F238E27FC236}">
              <a16:creationId xmlns:a16="http://schemas.microsoft.com/office/drawing/2014/main" id="{BD20EF93-D16F-A205-1479-8E218E1AB99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72" name="AutoShape 2">
          <a:extLst>
            <a:ext uri="{FF2B5EF4-FFF2-40B4-BE49-F238E27FC236}">
              <a16:creationId xmlns:a16="http://schemas.microsoft.com/office/drawing/2014/main" id="{55AF7498-C623-1DAB-F5B0-A0D9877ADE3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73" name="AutoShape 2">
          <a:extLst>
            <a:ext uri="{FF2B5EF4-FFF2-40B4-BE49-F238E27FC236}">
              <a16:creationId xmlns:a16="http://schemas.microsoft.com/office/drawing/2014/main" id="{005FE8E0-8933-262A-C9BF-F87416FA2AF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74" name="AutoShape 2">
          <a:extLst>
            <a:ext uri="{FF2B5EF4-FFF2-40B4-BE49-F238E27FC236}">
              <a16:creationId xmlns:a16="http://schemas.microsoft.com/office/drawing/2014/main" id="{957F3F3C-184F-18A0-86D2-2D8FAF787EC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75" name="AutoShape 2">
          <a:extLst>
            <a:ext uri="{FF2B5EF4-FFF2-40B4-BE49-F238E27FC236}">
              <a16:creationId xmlns:a16="http://schemas.microsoft.com/office/drawing/2014/main" id="{96004E30-370B-B092-A124-09AC9D42FB5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76" name="AutoShape 2">
          <a:extLst>
            <a:ext uri="{FF2B5EF4-FFF2-40B4-BE49-F238E27FC236}">
              <a16:creationId xmlns:a16="http://schemas.microsoft.com/office/drawing/2014/main" id="{B517425D-FA52-7B5F-9CF8-3EAB1C40EAD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77" name="AutoShape 2">
          <a:extLst>
            <a:ext uri="{FF2B5EF4-FFF2-40B4-BE49-F238E27FC236}">
              <a16:creationId xmlns:a16="http://schemas.microsoft.com/office/drawing/2014/main" id="{621F838C-58F6-8984-C0D6-894F9361248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78" name="AutoShape 2">
          <a:extLst>
            <a:ext uri="{FF2B5EF4-FFF2-40B4-BE49-F238E27FC236}">
              <a16:creationId xmlns:a16="http://schemas.microsoft.com/office/drawing/2014/main" id="{6E371603-0DC2-61B1-4687-E176A0656C3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79" name="AutoShape 2">
          <a:extLst>
            <a:ext uri="{FF2B5EF4-FFF2-40B4-BE49-F238E27FC236}">
              <a16:creationId xmlns:a16="http://schemas.microsoft.com/office/drawing/2014/main" id="{0EA609E7-1E2B-79DF-B568-24781C0E8FE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80" name="AutoShape 2">
          <a:extLst>
            <a:ext uri="{FF2B5EF4-FFF2-40B4-BE49-F238E27FC236}">
              <a16:creationId xmlns:a16="http://schemas.microsoft.com/office/drawing/2014/main" id="{364991AE-8E34-08D5-86A6-29F80C6D56B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81" name="AutoShape 2">
          <a:extLst>
            <a:ext uri="{FF2B5EF4-FFF2-40B4-BE49-F238E27FC236}">
              <a16:creationId xmlns:a16="http://schemas.microsoft.com/office/drawing/2014/main" id="{17A0C0EC-E533-A0E8-96CD-AE78997E6D9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82" name="AutoShape 2">
          <a:extLst>
            <a:ext uri="{FF2B5EF4-FFF2-40B4-BE49-F238E27FC236}">
              <a16:creationId xmlns:a16="http://schemas.microsoft.com/office/drawing/2014/main" id="{87D3CF1B-9B0C-6D97-2ECB-27DA8BE346B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83" name="AutoShape 2">
          <a:extLst>
            <a:ext uri="{FF2B5EF4-FFF2-40B4-BE49-F238E27FC236}">
              <a16:creationId xmlns:a16="http://schemas.microsoft.com/office/drawing/2014/main" id="{B5703758-AA86-C267-1B31-F3898D34D98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84" name="AutoShape 2">
          <a:extLst>
            <a:ext uri="{FF2B5EF4-FFF2-40B4-BE49-F238E27FC236}">
              <a16:creationId xmlns:a16="http://schemas.microsoft.com/office/drawing/2014/main" id="{61D5369D-F5B0-9CA1-E350-10EDA090BA2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85" name="AutoShape 2">
          <a:extLst>
            <a:ext uri="{FF2B5EF4-FFF2-40B4-BE49-F238E27FC236}">
              <a16:creationId xmlns:a16="http://schemas.microsoft.com/office/drawing/2014/main" id="{835878A7-D668-8934-2F94-592D03BC7DA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86" name="AutoShape 2">
          <a:extLst>
            <a:ext uri="{FF2B5EF4-FFF2-40B4-BE49-F238E27FC236}">
              <a16:creationId xmlns:a16="http://schemas.microsoft.com/office/drawing/2014/main" id="{4B3AB192-40BA-5883-0DAB-943C504FD88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87" name="AutoShape 2">
          <a:extLst>
            <a:ext uri="{FF2B5EF4-FFF2-40B4-BE49-F238E27FC236}">
              <a16:creationId xmlns:a16="http://schemas.microsoft.com/office/drawing/2014/main" id="{1DEE8700-63FD-1E93-6F0C-38C5DB2E9BC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88" name="AutoShape 2">
          <a:extLst>
            <a:ext uri="{FF2B5EF4-FFF2-40B4-BE49-F238E27FC236}">
              <a16:creationId xmlns:a16="http://schemas.microsoft.com/office/drawing/2014/main" id="{439AABA8-AA9C-1DD6-A7AC-40ECAB4968F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89" name="AutoShape 2">
          <a:extLst>
            <a:ext uri="{FF2B5EF4-FFF2-40B4-BE49-F238E27FC236}">
              <a16:creationId xmlns:a16="http://schemas.microsoft.com/office/drawing/2014/main" id="{54C9915F-9A6E-3C00-1FF3-50CADA32FA2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90" name="AutoShape 2">
          <a:extLst>
            <a:ext uri="{FF2B5EF4-FFF2-40B4-BE49-F238E27FC236}">
              <a16:creationId xmlns:a16="http://schemas.microsoft.com/office/drawing/2014/main" id="{C128944F-9424-5F96-2783-21FF5122A5B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91" name="AutoShape 2">
          <a:extLst>
            <a:ext uri="{FF2B5EF4-FFF2-40B4-BE49-F238E27FC236}">
              <a16:creationId xmlns:a16="http://schemas.microsoft.com/office/drawing/2014/main" id="{CD7E8131-BA3B-387C-4B74-CE711E6A6F9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92" name="AutoShape 2">
          <a:extLst>
            <a:ext uri="{FF2B5EF4-FFF2-40B4-BE49-F238E27FC236}">
              <a16:creationId xmlns:a16="http://schemas.microsoft.com/office/drawing/2014/main" id="{167379B5-F86D-84CD-DFBF-25534B2B61B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93" name="AutoShape 2">
          <a:extLst>
            <a:ext uri="{FF2B5EF4-FFF2-40B4-BE49-F238E27FC236}">
              <a16:creationId xmlns:a16="http://schemas.microsoft.com/office/drawing/2014/main" id="{1670D111-DC3B-60D2-BDF8-DD9613D71E0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94" name="AutoShape 2">
          <a:extLst>
            <a:ext uri="{FF2B5EF4-FFF2-40B4-BE49-F238E27FC236}">
              <a16:creationId xmlns:a16="http://schemas.microsoft.com/office/drawing/2014/main" id="{5515583B-B56F-9B7A-CBF4-AA9016212F1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95" name="AutoShape 2">
          <a:extLst>
            <a:ext uri="{FF2B5EF4-FFF2-40B4-BE49-F238E27FC236}">
              <a16:creationId xmlns:a16="http://schemas.microsoft.com/office/drawing/2014/main" id="{0DFF8B04-D846-5666-197E-85BE82482AE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96" name="AutoShape 2">
          <a:extLst>
            <a:ext uri="{FF2B5EF4-FFF2-40B4-BE49-F238E27FC236}">
              <a16:creationId xmlns:a16="http://schemas.microsoft.com/office/drawing/2014/main" id="{93AAE61B-07A5-6BAE-3952-BB868D99148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97" name="AutoShape 2">
          <a:extLst>
            <a:ext uri="{FF2B5EF4-FFF2-40B4-BE49-F238E27FC236}">
              <a16:creationId xmlns:a16="http://schemas.microsoft.com/office/drawing/2014/main" id="{1C7EE375-5D9F-CA33-EF76-67F7DDA0CD6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98" name="AutoShape 2">
          <a:extLst>
            <a:ext uri="{FF2B5EF4-FFF2-40B4-BE49-F238E27FC236}">
              <a16:creationId xmlns:a16="http://schemas.microsoft.com/office/drawing/2014/main" id="{0B424AAC-3A9D-B31A-40AE-0965829BB21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399" name="AutoShape 2">
          <a:extLst>
            <a:ext uri="{FF2B5EF4-FFF2-40B4-BE49-F238E27FC236}">
              <a16:creationId xmlns:a16="http://schemas.microsoft.com/office/drawing/2014/main" id="{7D04D4C1-AFDC-A6B5-6D64-ABFE58D62E4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00" name="AutoShape 2">
          <a:extLst>
            <a:ext uri="{FF2B5EF4-FFF2-40B4-BE49-F238E27FC236}">
              <a16:creationId xmlns:a16="http://schemas.microsoft.com/office/drawing/2014/main" id="{906B4EE3-24A9-1CD1-B000-7A18551821B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01" name="AutoShape 2">
          <a:extLst>
            <a:ext uri="{FF2B5EF4-FFF2-40B4-BE49-F238E27FC236}">
              <a16:creationId xmlns:a16="http://schemas.microsoft.com/office/drawing/2014/main" id="{6B8AC099-29C3-8C51-D2B1-E6124FC45B8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02" name="AutoShape 2">
          <a:extLst>
            <a:ext uri="{FF2B5EF4-FFF2-40B4-BE49-F238E27FC236}">
              <a16:creationId xmlns:a16="http://schemas.microsoft.com/office/drawing/2014/main" id="{D0478D35-1BE6-24AC-EFAB-5C06A8E1F38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03" name="AutoShape 2">
          <a:extLst>
            <a:ext uri="{FF2B5EF4-FFF2-40B4-BE49-F238E27FC236}">
              <a16:creationId xmlns:a16="http://schemas.microsoft.com/office/drawing/2014/main" id="{3151906D-54FE-01DE-E39C-0C5930ED9F4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04" name="AutoShape 2">
          <a:extLst>
            <a:ext uri="{FF2B5EF4-FFF2-40B4-BE49-F238E27FC236}">
              <a16:creationId xmlns:a16="http://schemas.microsoft.com/office/drawing/2014/main" id="{489A63CE-4B4F-6C8B-5E2C-AE05FE03766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05" name="AutoShape 2">
          <a:extLst>
            <a:ext uri="{FF2B5EF4-FFF2-40B4-BE49-F238E27FC236}">
              <a16:creationId xmlns:a16="http://schemas.microsoft.com/office/drawing/2014/main" id="{43524E7B-B495-8B1C-C9AC-FA82984B622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06" name="AutoShape 2">
          <a:extLst>
            <a:ext uri="{FF2B5EF4-FFF2-40B4-BE49-F238E27FC236}">
              <a16:creationId xmlns:a16="http://schemas.microsoft.com/office/drawing/2014/main" id="{4F94CC93-9F26-BFF0-B8C4-5DC43079626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07" name="AutoShape 2">
          <a:extLst>
            <a:ext uri="{FF2B5EF4-FFF2-40B4-BE49-F238E27FC236}">
              <a16:creationId xmlns:a16="http://schemas.microsoft.com/office/drawing/2014/main" id="{0647C0CC-9567-B595-B6AD-635FC8C3F9E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08" name="AutoShape 2">
          <a:extLst>
            <a:ext uri="{FF2B5EF4-FFF2-40B4-BE49-F238E27FC236}">
              <a16:creationId xmlns:a16="http://schemas.microsoft.com/office/drawing/2014/main" id="{D731AA0E-415B-98E3-6E61-F2F5B12204F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09" name="AutoShape 2">
          <a:extLst>
            <a:ext uri="{FF2B5EF4-FFF2-40B4-BE49-F238E27FC236}">
              <a16:creationId xmlns:a16="http://schemas.microsoft.com/office/drawing/2014/main" id="{F84FB07F-69AC-2C99-F14A-BC8AF31ECD3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10" name="AutoShape 2">
          <a:extLst>
            <a:ext uri="{FF2B5EF4-FFF2-40B4-BE49-F238E27FC236}">
              <a16:creationId xmlns:a16="http://schemas.microsoft.com/office/drawing/2014/main" id="{F2F3A939-2566-1A66-5AD2-B9FC022145B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11" name="AutoShape 2">
          <a:extLst>
            <a:ext uri="{FF2B5EF4-FFF2-40B4-BE49-F238E27FC236}">
              <a16:creationId xmlns:a16="http://schemas.microsoft.com/office/drawing/2014/main" id="{F7979A35-8AF7-21BF-A2E2-5901B8B5675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12" name="AutoShape 2">
          <a:extLst>
            <a:ext uri="{FF2B5EF4-FFF2-40B4-BE49-F238E27FC236}">
              <a16:creationId xmlns:a16="http://schemas.microsoft.com/office/drawing/2014/main" id="{AAC4E675-8199-B3A3-7064-00DEDD17F23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13" name="AutoShape 2">
          <a:extLst>
            <a:ext uri="{FF2B5EF4-FFF2-40B4-BE49-F238E27FC236}">
              <a16:creationId xmlns:a16="http://schemas.microsoft.com/office/drawing/2014/main" id="{726F4885-A5B7-28C2-3EC6-162745F9EB6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14" name="AutoShape 2">
          <a:extLst>
            <a:ext uri="{FF2B5EF4-FFF2-40B4-BE49-F238E27FC236}">
              <a16:creationId xmlns:a16="http://schemas.microsoft.com/office/drawing/2014/main" id="{1417F80F-E704-6143-5EA5-A6B620873F3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15" name="AutoShape 2">
          <a:extLst>
            <a:ext uri="{FF2B5EF4-FFF2-40B4-BE49-F238E27FC236}">
              <a16:creationId xmlns:a16="http://schemas.microsoft.com/office/drawing/2014/main" id="{65A13396-5064-581C-D987-A7727A55F6B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16" name="AutoShape 2">
          <a:extLst>
            <a:ext uri="{FF2B5EF4-FFF2-40B4-BE49-F238E27FC236}">
              <a16:creationId xmlns:a16="http://schemas.microsoft.com/office/drawing/2014/main" id="{BFFCABE8-7575-33BC-FBD1-6677A0985D6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17" name="AutoShape 2">
          <a:extLst>
            <a:ext uri="{FF2B5EF4-FFF2-40B4-BE49-F238E27FC236}">
              <a16:creationId xmlns:a16="http://schemas.microsoft.com/office/drawing/2014/main" id="{34778516-7AD0-173A-1178-6434253AB32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18" name="AutoShape 2">
          <a:extLst>
            <a:ext uri="{FF2B5EF4-FFF2-40B4-BE49-F238E27FC236}">
              <a16:creationId xmlns:a16="http://schemas.microsoft.com/office/drawing/2014/main" id="{452FFFC8-187E-C57D-7E69-97E673115B5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19" name="AutoShape 2">
          <a:extLst>
            <a:ext uri="{FF2B5EF4-FFF2-40B4-BE49-F238E27FC236}">
              <a16:creationId xmlns:a16="http://schemas.microsoft.com/office/drawing/2014/main" id="{D635E645-5054-04AE-5E9B-F2E4F6E7E9C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20" name="AutoShape 2">
          <a:extLst>
            <a:ext uri="{FF2B5EF4-FFF2-40B4-BE49-F238E27FC236}">
              <a16:creationId xmlns:a16="http://schemas.microsoft.com/office/drawing/2014/main" id="{2EA5588E-C0A4-A759-FB51-7F406FB6F83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21" name="AutoShape 2">
          <a:extLst>
            <a:ext uri="{FF2B5EF4-FFF2-40B4-BE49-F238E27FC236}">
              <a16:creationId xmlns:a16="http://schemas.microsoft.com/office/drawing/2014/main" id="{775D773B-29B8-E3A6-0D4C-2CEFCF4F7DB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22" name="AutoShape 2">
          <a:extLst>
            <a:ext uri="{FF2B5EF4-FFF2-40B4-BE49-F238E27FC236}">
              <a16:creationId xmlns:a16="http://schemas.microsoft.com/office/drawing/2014/main" id="{E3B3A341-1A32-C683-2509-86EE88E969E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23" name="AutoShape 2">
          <a:extLst>
            <a:ext uri="{FF2B5EF4-FFF2-40B4-BE49-F238E27FC236}">
              <a16:creationId xmlns:a16="http://schemas.microsoft.com/office/drawing/2014/main" id="{81157D02-EE36-3408-66FA-71145833367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24" name="AutoShape 2">
          <a:extLst>
            <a:ext uri="{FF2B5EF4-FFF2-40B4-BE49-F238E27FC236}">
              <a16:creationId xmlns:a16="http://schemas.microsoft.com/office/drawing/2014/main" id="{21BC9A60-538C-7B1F-BD91-B71D976E0E0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25" name="AutoShape 2">
          <a:extLst>
            <a:ext uri="{FF2B5EF4-FFF2-40B4-BE49-F238E27FC236}">
              <a16:creationId xmlns:a16="http://schemas.microsoft.com/office/drawing/2014/main" id="{30AB8FA8-7C89-0F49-3A74-20B9AEBD616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26" name="AutoShape 2">
          <a:extLst>
            <a:ext uri="{FF2B5EF4-FFF2-40B4-BE49-F238E27FC236}">
              <a16:creationId xmlns:a16="http://schemas.microsoft.com/office/drawing/2014/main" id="{5DF8646D-1F4E-B60D-9A46-ECF855A939F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27" name="AutoShape 2">
          <a:extLst>
            <a:ext uri="{FF2B5EF4-FFF2-40B4-BE49-F238E27FC236}">
              <a16:creationId xmlns:a16="http://schemas.microsoft.com/office/drawing/2014/main" id="{F3257E90-254B-80A0-B3D8-FD7D3940927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28" name="AutoShape 2">
          <a:extLst>
            <a:ext uri="{FF2B5EF4-FFF2-40B4-BE49-F238E27FC236}">
              <a16:creationId xmlns:a16="http://schemas.microsoft.com/office/drawing/2014/main" id="{5DE4C3DA-E7E0-97C2-D79A-94C4458B3B8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29" name="AutoShape 2">
          <a:extLst>
            <a:ext uri="{FF2B5EF4-FFF2-40B4-BE49-F238E27FC236}">
              <a16:creationId xmlns:a16="http://schemas.microsoft.com/office/drawing/2014/main" id="{22672D03-2EE8-0C7E-CC11-7A8AA959B62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30" name="AutoShape 2">
          <a:extLst>
            <a:ext uri="{FF2B5EF4-FFF2-40B4-BE49-F238E27FC236}">
              <a16:creationId xmlns:a16="http://schemas.microsoft.com/office/drawing/2014/main" id="{B8E3E43A-DC73-7429-1660-6E66DF5C298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31" name="AutoShape 2">
          <a:extLst>
            <a:ext uri="{FF2B5EF4-FFF2-40B4-BE49-F238E27FC236}">
              <a16:creationId xmlns:a16="http://schemas.microsoft.com/office/drawing/2014/main" id="{442A468C-214A-DF75-3E11-644ED7056B9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32" name="AutoShape 2">
          <a:extLst>
            <a:ext uri="{FF2B5EF4-FFF2-40B4-BE49-F238E27FC236}">
              <a16:creationId xmlns:a16="http://schemas.microsoft.com/office/drawing/2014/main" id="{3A88FA99-6CC8-F64B-C942-C3E33DA1118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33" name="AutoShape 2">
          <a:extLst>
            <a:ext uri="{FF2B5EF4-FFF2-40B4-BE49-F238E27FC236}">
              <a16:creationId xmlns:a16="http://schemas.microsoft.com/office/drawing/2014/main" id="{F86FA1D8-53CF-954E-7670-8C39C79E176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34" name="AutoShape 2">
          <a:extLst>
            <a:ext uri="{FF2B5EF4-FFF2-40B4-BE49-F238E27FC236}">
              <a16:creationId xmlns:a16="http://schemas.microsoft.com/office/drawing/2014/main" id="{4F123D04-033A-5385-07F6-6981743A2F8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35" name="AutoShape 2">
          <a:extLst>
            <a:ext uri="{FF2B5EF4-FFF2-40B4-BE49-F238E27FC236}">
              <a16:creationId xmlns:a16="http://schemas.microsoft.com/office/drawing/2014/main" id="{3166BA3C-3CEC-FC9D-2E3A-560FBE5314E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36" name="AutoShape 2">
          <a:extLst>
            <a:ext uri="{FF2B5EF4-FFF2-40B4-BE49-F238E27FC236}">
              <a16:creationId xmlns:a16="http://schemas.microsoft.com/office/drawing/2014/main" id="{B679AEF2-077C-4C04-6C0D-51F2EA8C3A8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37" name="AutoShape 2">
          <a:extLst>
            <a:ext uri="{FF2B5EF4-FFF2-40B4-BE49-F238E27FC236}">
              <a16:creationId xmlns:a16="http://schemas.microsoft.com/office/drawing/2014/main" id="{D50C5E7A-05C5-A27B-4609-D62E205E613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38" name="AutoShape 2">
          <a:extLst>
            <a:ext uri="{FF2B5EF4-FFF2-40B4-BE49-F238E27FC236}">
              <a16:creationId xmlns:a16="http://schemas.microsoft.com/office/drawing/2014/main" id="{1FCB0E0C-6FB0-EC34-A4A0-28F0BD0FE2E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39" name="AutoShape 2">
          <a:extLst>
            <a:ext uri="{FF2B5EF4-FFF2-40B4-BE49-F238E27FC236}">
              <a16:creationId xmlns:a16="http://schemas.microsoft.com/office/drawing/2014/main" id="{44B6003A-ED88-6BCF-2E68-1947FEEA33A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40" name="AutoShape 2">
          <a:extLst>
            <a:ext uri="{FF2B5EF4-FFF2-40B4-BE49-F238E27FC236}">
              <a16:creationId xmlns:a16="http://schemas.microsoft.com/office/drawing/2014/main" id="{72A90750-7845-6155-1AC2-2071B59E486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41" name="AutoShape 2">
          <a:extLst>
            <a:ext uri="{FF2B5EF4-FFF2-40B4-BE49-F238E27FC236}">
              <a16:creationId xmlns:a16="http://schemas.microsoft.com/office/drawing/2014/main" id="{C0D7D13A-4915-FFFE-BBBD-2E6A2862DC0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42" name="AutoShape 2">
          <a:extLst>
            <a:ext uri="{FF2B5EF4-FFF2-40B4-BE49-F238E27FC236}">
              <a16:creationId xmlns:a16="http://schemas.microsoft.com/office/drawing/2014/main" id="{C2B91624-A6EA-06ED-B5A6-E565C730B09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43" name="AutoShape 2">
          <a:extLst>
            <a:ext uri="{FF2B5EF4-FFF2-40B4-BE49-F238E27FC236}">
              <a16:creationId xmlns:a16="http://schemas.microsoft.com/office/drawing/2014/main" id="{BA1A5B1C-3CD2-3BA4-1335-27C52C50118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44" name="AutoShape 2">
          <a:extLst>
            <a:ext uri="{FF2B5EF4-FFF2-40B4-BE49-F238E27FC236}">
              <a16:creationId xmlns:a16="http://schemas.microsoft.com/office/drawing/2014/main" id="{950B11DC-6C4C-CFE8-7C2B-C34A686FB5C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45" name="AutoShape 2">
          <a:extLst>
            <a:ext uri="{FF2B5EF4-FFF2-40B4-BE49-F238E27FC236}">
              <a16:creationId xmlns:a16="http://schemas.microsoft.com/office/drawing/2014/main" id="{20072539-32B9-5077-2848-00F9810F609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46" name="AutoShape 2">
          <a:extLst>
            <a:ext uri="{FF2B5EF4-FFF2-40B4-BE49-F238E27FC236}">
              <a16:creationId xmlns:a16="http://schemas.microsoft.com/office/drawing/2014/main" id="{5D49C23C-7EAB-80A0-53CB-E60B3F60C87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47" name="AutoShape 2">
          <a:extLst>
            <a:ext uri="{FF2B5EF4-FFF2-40B4-BE49-F238E27FC236}">
              <a16:creationId xmlns:a16="http://schemas.microsoft.com/office/drawing/2014/main" id="{7EFB7E43-31A3-A825-A4FD-C8F1CDBC467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48" name="AutoShape 2">
          <a:extLst>
            <a:ext uri="{FF2B5EF4-FFF2-40B4-BE49-F238E27FC236}">
              <a16:creationId xmlns:a16="http://schemas.microsoft.com/office/drawing/2014/main" id="{4769F673-BA3D-3339-AAC7-829381AA53F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49" name="AutoShape 2">
          <a:extLst>
            <a:ext uri="{FF2B5EF4-FFF2-40B4-BE49-F238E27FC236}">
              <a16:creationId xmlns:a16="http://schemas.microsoft.com/office/drawing/2014/main" id="{03BF923D-BE5B-5373-E13B-33933A85B8B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50" name="AutoShape 2">
          <a:extLst>
            <a:ext uri="{FF2B5EF4-FFF2-40B4-BE49-F238E27FC236}">
              <a16:creationId xmlns:a16="http://schemas.microsoft.com/office/drawing/2014/main" id="{567CEDD1-2961-FAA3-1205-53C2D6F76BF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51" name="AutoShape 2">
          <a:extLst>
            <a:ext uri="{FF2B5EF4-FFF2-40B4-BE49-F238E27FC236}">
              <a16:creationId xmlns:a16="http://schemas.microsoft.com/office/drawing/2014/main" id="{BAC6C453-5624-8B18-12D9-E298E259490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52" name="AutoShape 2">
          <a:extLst>
            <a:ext uri="{FF2B5EF4-FFF2-40B4-BE49-F238E27FC236}">
              <a16:creationId xmlns:a16="http://schemas.microsoft.com/office/drawing/2014/main" id="{92AB69A3-A1C6-A3DC-E2F5-419539607C1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53" name="AutoShape 2">
          <a:extLst>
            <a:ext uri="{FF2B5EF4-FFF2-40B4-BE49-F238E27FC236}">
              <a16:creationId xmlns:a16="http://schemas.microsoft.com/office/drawing/2014/main" id="{5C2C2581-646B-E0C0-C16C-F4C3424230B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54" name="AutoShape 2">
          <a:extLst>
            <a:ext uri="{FF2B5EF4-FFF2-40B4-BE49-F238E27FC236}">
              <a16:creationId xmlns:a16="http://schemas.microsoft.com/office/drawing/2014/main" id="{81768104-ED68-445D-E6DF-00888E5CEB4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55" name="AutoShape 2">
          <a:extLst>
            <a:ext uri="{FF2B5EF4-FFF2-40B4-BE49-F238E27FC236}">
              <a16:creationId xmlns:a16="http://schemas.microsoft.com/office/drawing/2014/main" id="{95389F6D-7A43-33A7-F7B0-2E0C654E08A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56" name="AutoShape 2">
          <a:extLst>
            <a:ext uri="{FF2B5EF4-FFF2-40B4-BE49-F238E27FC236}">
              <a16:creationId xmlns:a16="http://schemas.microsoft.com/office/drawing/2014/main" id="{8BACDD09-A7EA-959E-161C-10FF2D76700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57" name="AutoShape 2">
          <a:extLst>
            <a:ext uri="{FF2B5EF4-FFF2-40B4-BE49-F238E27FC236}">
              <a16:creationId xmlns:a16="http://schemas.microsoft.com/office/drawing/2014/main" id="{17D044F3-BC3E-1734-DF73-305121CF678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58" name="AutoShape 2">
          <a:extLst>
            <a:ext uri="{FF2B5EF4-FFF2-40B4-BE49-F238E27FC236}">
              <a16:creationId xmlns:a16="http://schemas.microsoft.com/office/drawing/2014/main" id="{3077A31E-605B-BF8F-F6A3-11544A9A085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59" name="AutoShape 2">
          <a:extLst>
            <a:ext uri="{FF2B5EF4-FFF2-40B4-BE49-F238E27FC236}">
              <a16:creationId xmlns:a16="http://schemas.microsoft.com/office/drawing/2014/main" id="{C4D768F2-3EEB-414E-2C82-73DE4B10300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60" name="AutoShape 2">
          <a:extLst>
            <a:ext uri="{FF2B5EF4-FFF2-40B4-BE49-F238E27FC236}">
              <a16:creationId xmlns:a16="http://schemas.microsoft.com/office/drawing/2014/main" id="{B81D4434-7AB2-101D-B24D-42FC46F5E44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61" name="AutoShape 2">
          <a:extLst>
            <a:ext uri="{FF2B5EF4-FFF2-40B4-BE49-F238E27FC236}">
              <a16:creationId xmlns:a16="http://schemas.microsoft.com/office/drawing/2014/main" id="{B7ED34E9-1378-9C71-039C-08BBFA1EE91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62" name="AutoShape 2">
          <a:extLst>
            <a:ext uri="{FF2B5EF4-FFF2-40B4-BE49-F238E27FC236}">
              <a16:creationId xmlns:a16="http://schemas.microsoft.com/office/drawing/2014/main" id="{17568108-1F0C-F935-065C-C067E41D12E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63" name="AutoShape 2">
          <a:extLst>
            <a:ext uri="{FF2B5EF4-FFF2-40B4-BE49-F238E27FC236}">
              <a16:creationId xmlns:a16="http://schemas.microsoft.com/office/drawing/2014/main" id="{22F7D04F-94DF-135B-69E6-AF00BB896B6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64" name="AutoShape 2">
          <a:extLst>
            <a:ext uri="{FF2B5EF4-FFF2-40B4-BE49-F238E27FC236}">
              <a16:creationId xmlns:a16="http://schemas.microsoft.com/office/drawing/2014/main" id="{DA993CE8-FB1D-E00E-B835-2995BBA45E6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65" name="AutoShape 2">
          <a:extLst>
            <a:ext uri="{FF2B5EF4-FFF2-40B4-BE49-F238E27FC236}">
              <a16:creationId xmlns:a16="http://schemas.microsoft.com/office/drawing/2014/main" id="{18B5D224-1E2A-A1AB-9FDD-5C392F0C57B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66" name="AutoShape 2">
          <a:extLst>
            <a:ext uri="{FF2B5EF4-FFF2-40B4-BE49-F238E27FC236}">
              <a16:creationId xmlns:a16="http://schemas.microsoft.com/office/drawing/2014/main" id="{ECB2A2AE-DF08-50EB-F11B-9CC1CFB55D1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67" name="AutoShape 2">
          <a:extLst>
            <a:ext uri="{FF2B5EF4-FFF2-40B4-BE49-F238E27FC236}">
              <a16:creationId xmlns:a16="http://schemas.microsoft.com/office/drawing/2014/main" id="{1C7FC70C-DECF-2DAE-C49B-B452C4D6CE5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68" name="AutoShape 2">
          <a:extLst>
            <a:ext uri="{FF2B5EF4-FFF2-40B4-BE49-F238E27FC236}">
              <a16:creationId xmlns:a16="http://schemas.microsoft.com/office/drawing/2014/main" id="{D7324BD2-CCA5-A047-5E9A-CB6A6725E9E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69" name="AutoShape 2">
          <a:extLst>
            <a:ext uri="{FF2B5EF4-FFF2-40B4-BE49-F238E27FC236}">
              <a16:creationId xmlns:a16="http://schemas.microsoft.com/office/drawing/2014/main" id="{8A6CB9F5-A8E5-10D5-FB23-D65C045DAF3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70" name="AutoShape 2">
          <a:extLst>
            <a:ext uri="{FF2B5EF4-FFF2-40B4-BE49-F238E27FC236}">
              <a16:creationId xmlns:a16="http://schemas.microsoft.com/office/drawing/2014/main" id="{8196E239-2A54-8C49-3C4F-D683FB8C0EB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71" name="AutoShape 2">
          <a:extLst>
            <a:ext uri="{FF2B5EF4-FFF2-40B4-BE49-F238E27FC236}">
              <a16:creationId xmlns:a16="http://schemas.microsoft.com/office/drawing/2014/main" id="{42D1F4BC-992A-A180-702C-3EC8C577CA5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72" name="AutoShape 2">
          <a:extLst>
            <a:ext uri="{FF2B5EF4-FFF2-40B4-BE49-F238E27FC236}">
              <a16:creationId xmlns:a16="http://schemas.microsoft.com/office/drawing/2014/main" id="{2F5E3041-5FAC-0450-40D8-55D80AF4BB6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73" name="AutoShape 2">
          <a:extLst>
            <a:ext uri="{FF2B5EF4-FFF2-40B4-BE49-F238E27FC236}">
              <a16:creationId xmlns:a16="http://schemas.microsoft.com/office/drawing/2014/main" id="{F02AF26F-925B-D463-D0B0-0EEC123248E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74" name="AutoShape 2">
          <a:extLst>
            <a:ext uri="{FF2B5EF4-FFF2-40B4-BE49-F238E27FC236}">
              <a16:creationId xmlns:a16="http://schemas.microsoft.com/office/drawing/2014/main" id="{B475ADBD-95E0-A940-921E-8A04F6ADDF4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75" name="AutoShape 2">
          <a:extLst>
            <a:ext uri="{FF2B5EF4-FFF2-40B4-BE49-F238E27FC236}">
              <a16:creationId xmlns:a16="http://schemas.microsoft.com/office/drawing/2014/main" id="{D1F12477-EDF6-4CCA-2EC6-A231E966C31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76" name="AutoShape 2">
          <a:extLst>
            <a:ext uri="{FF2B5EF4-FFF2-40B4-BE49-F238E27FC236}">
              <a16:creationId xmlns:a16="http://schemas.microsoft.com/office/drawing/2014/main" id="{3D67EEAE-65E9-E145-9004-50C04E0BE55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77" name="AutoShape 2">
          <a:extLst>
            <a:ext uri="{FF2B5EF4-FFF2-40B4-BE49-F238E27FC236}">
              <a16:creationId xmlns:a16="http://schemas.microsoft.com/office/drawing/2014/main" id="{0ADCFD7C-2343-217E-1530-6AB83EF8623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78" name="AutoShape 2">
          <a:extLst>
            <a:ext uri="{FF2B5EF4-FFF2-40B4-BE49-F238E27FC236}">
              <a16:creationId xmlns:a16="http://schemas.microsoft.com/office/drawing/2014/main" id="{D3AF9447-23D5-46B4-79C9-33F61597905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79" name="AutoShape 2">
          <a:extLst>
            <a:ext uri="{FF2B5EF4-FFF2-40B4-BE49-F238E27FC236}">
              <a16:creationId xmlns:a16="http://schemas.microsoft.com/office/drawing/2014/main" id="{711D7127-22AD-A2D7-D4A3-EB8B8AFCD7E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80" name="AutoShape 2">
          <a:extLst>
            <a:ext uri="{FF2B5EF4-FFF2-40B4-BE49-F238E27FC236}">
              <a16:creationId xmlns:a16="http://schemas.microsoft.com/office/drawing/2014/main" id="{C161B60D-0438-5ADF-AA01-760BE8510A5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81" name="AutoShape 2">
          <a:extLst>
            <a:ext uri="{FF2B5EF4-FFF2-40B4-BE49-F238E27FC236}">
              <a16:creationId xmlns:a16="http://schemas.microsoft.com/office/drawing/2014/main" id="{36DE7E64-3B48-C8F0-CDBC-CCEED78C94C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82" name="AutoShape 2">
          <a:extLst>
            <a:ext uri="{FF2B5EF4-FFF2-40B4-BE49-F238E27FC236}">
              <a16:creationId xmlns:a16="http://schemas.microsoft.com/office/drawing/2014/main" id="{F636A735-C011-AC2D-5CD5-9F00DCF0F1C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83" name="AutoShape 2">
          <a:extLst>
            <a:ext uri="{FF2B5EF4-FFF2-40B4-BE49-F238E27FC236}">
              <a16:creationId xmlns:a16="http://schemas.microsoft.com/office/drawing/2014/main" id="{83CB1DBB-1B48-B3DB-08DE-E369471DE3F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84" name="AutoShape 2">
          <a:extLst>
            <a:ext uri="{FF2B5EF4-FFF2-40B4-BE49-F238E27FC236}">
              <a16:creationId xmlns:a16="http://schemas.microsoft.com/office/drawing/2014/main" id="{977B1E2B-8FBE-6CD0-C6CE-AEAE1ED2031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85" name="AutoShape 2">
          <a:extLst>
            <a:ext uri="{FF2B5EF4-FFF2-40B4-BE49-F238E27FC236}">
              <a16:creationId xmlns:a16="http://schemas.microsoft.com/office/drawing/2014/main" id="{271AEFED-55E6-0327-7D2B-82D890D9476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86" name="AutoShape 2">
          <a:extLst>
            <a:ext uri="{FF2B5EF4-FFF2-40B4-BE49-F238E27FC236}">
              <a16:creationId xmlns:a16="http://schemas.microsoft.com/office/drawing/2014/main" id="{BBE65039-EC7D-10BF-16FE-B4AF6A4E1A7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87" name="AutoShape 2">
          <a:extLst>
            <a:ext uri="{FF2B5EF4-FFF2-40B4-BE49-F238E27FC236}">
              <a16:creationId xmlns:a16="http://schemas.microsoft.com/office/drawing/2014/main" id="{39B1AD20-E6F8-FFFE-3A64-61CCDDCF54D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88" name="AutoShape 2">
          <a:extLst>
            <a:ext uri="{FF2B5EF4-FFF2-40B4-BE49-F238E27FC236}">
              <a16:creationId xmlns:a16="http://schemas.microsoft.com/office/drawing/2014/main" id="{6D82CC36-ECCA-8A04-12BA-25485506645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89" name="AutoShape 2">
          <a:extLst>
            <a:ext uri="{FF2B5EF4-FFF2-40B4-BE49-F238E27FC236}">
              <a16:creationId xmlns:a16="http://schemas.microsoft.com/office/drawing/2014/main" id="{4F2EDB37-36C9-4E5D-35EB-85330C54873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90" name="AutoShape 2">
          <a:extLst>
            <a:ext uri="{FF2B5EF4-FFF2-40B4-BE49-F238E27FC236}">
              <a16:creationId xmlns:a16="http://schemas.microsoft.com/office/drawing/2014/main" id="{B6E55250-11E3-8245-D1E2-1E00FA32B7E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91" name="AutoShape 2">
          <a:extLst>
            <a:ext uri="{FF2B5EF4-FFF2-40B4-BE49-F238E27FC236}">
              <a16:creationId xmlns:a16="http://schemas.microsoft.com/office/drawing/2014/main" id="{616DFF10-FD65-0FDD-0429-308ACE545D4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92" name="AutoShape 2">
          <a:extLst>
            <a:ext uri="{FF2B5EF4-FFF2-40B4-BE49-F238E27FC236}">
              <a16:creationId xmlns:a16="http://schemas.microsoft.com/office/drawing/2014/main" id="{431D9975-E03F-FF0C-0938-8AD0EBD4CCD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93" name="AutoShape 2">
          <a:extLst>
            <a:ext uri="{FF2B5EF4-FFF2-40B4-BE49-F238E27FC236}">
              <a16:creationId xmlns:a16="http://schemas.microsoft.com/office/drawing/2014/main" id="{6936CCB6-7F9F-27F5-5DF7-120ACAA200D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94" name="AutoShape 2">
          <a:extLst>
            <a:ext uri="{FF2B5EF4-FFF2-40B4-BE49-F238E27FC236}">
              <a16:creationId xmlns:a16="http://schemas.microsoft.com/office/drawing/2014/main" id="{43906585-ACA6-90B2-B49E-A6F82C4A851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95" name="AutoShape 2">
          <a:extLst>
            <a:ext uri="{FF2B5EF4-FFF2-40B4-BE49-F238E27FC236}">
              <a16:creationId xmlns:a16="http://schemas.microsoft.com/office/drawing/2014/main" id="{4BB53E72-FB19-1ED2-333D-DE73EC6F25C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96" name="AutoShape 2">
          <a:extLst>
            <a:ext uri="{FF2B5EF4-FFF2-40B4-BE49-F238E27FC236}">
              <a16:creationId xmlns:a16="http://schemas.microsoft.com/office/drawing/2014/main" id="{1F732E9F-FF84-71C3-F3CB-C22740FA76C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97" name="AutoShape 2">
          <a:extLst>
            <a:ext uri="{FF2B5EF4-FFF2-40B4-BE49-F238E27FC236}">
              <a16:creationId xmlns:a16="http://schemas.microsoft.com/office/drawing/2014/main" id="{518EBAAD-543C-B3CE-33B7-2A40D190346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98" name="AutoShape 2">
          <a:extLst>
            <a:ext uri="{FF2B5EF4-FFF2-40B4-BE49-F238E27FC236}">
              <a16:creationId xmlns:a16="http://schemas.microsoft.com/office/drawing/2014/main" id="{3675B65E-C98C-EF41-DF5C-CD06331179F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499" name="AutoShape 2">
          <a:extLst>
            <a:ext uri="{FF2B5EF4-FFF2-40B4-BE49-F238E27FC236}">
              <a16:creationId xmlns:a16="http://schemas.microsoft.com/office/drawing/2014/main" id="{98F93A56-05A5-8642-7D58-36C9592CFF5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00" name="AutoShape 2">
          <a:extLst>
            <a:ext uri="{FF2B5EF4-FFF2-40B4-BE49-F238E27FC236}">
              <a16:creationId xmlns:a16="http://schemas.microsoft.com/office/drawing/2014/main" id="{6D9F1E00-9936-C257-08DE-A1D34FD8364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01" name="AutoShape 2">
          <a:extLst>
            <a:ext uri="{FF2B5EF4-FFF2-40B4-BE49-F238E27FC236}">
              <a16:creationId xmlns:a16="http://schemas.microsoft.com/office/drawing/2014/main" id="{D2C1AE8D-8FB5-3E42-4640-C6D297BEB4F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02" name="AutoShape 2">
          <a:extLst>
            <a:ext uri="{FF2B5EF4-FFF2-40B4-BE49-F238E27FC236}">
              <a16:creationId xmlns:a16="http://schemas.microsoft.com/office/drawing/2014/main" id="{3A8526EF-AE7A-CA30-5AC5-4C7ED173131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03" name="AutoShape 2">
          <a:extLst>
            <a:ext uri="{FF2B5EF4-FFF2-40B4-BE49-F238E27FC236}">
              <a16:creationId xmlns:a16="http://schemas.microsoft.com/office/drawing/2014/main" id="{75DB3893-528E-2388-6C65-1AAD211ABF6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04" name="AutoShape 2">
          <a:extLst>
            <a:ext uri="{FF2B5EF4-FFF2-40B4-BE49-F238E27FC236}">
              <a16:creationId xmlns:a16="http://schemas.microsoft.com/office/drawing/2014/main" id="{D2CAD420-D3F7-44DF-A657-0C24B77124B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05" name="AutoShape 2">
          <a:extLst>
            <a:ext uri="{FF2B5EF4-FFF2-40B4-BE49-F238E27FC236}">
              <a16:creationId xmlns:a16="http://schemas.microsoft.com/office/drawing/2014/main" id="{9E083E72-D549-D9DE-9CB0-F4B5ABD4E3E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06" name="AutoShape 2">
          <a:extLst>
            <a:ext uri="{FF2B5EF4-FFF2-40B4-BE49-F238E27FC236}">
              <a16:creationId xmlns:a16="http://schemas.microsoft.com/office/drawing/2014/main" id="{34B2C0C5-982E-E1FC-5B59-63BE5A91336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07" name="AutoShape 2">
          <a:extLst>
            <a:ext uri="{FF2B5EF4-FFF2-40B4-BE49-F238E27FC236}">
              <a16:creationId xmlns:a16="http://schemas.microsoft.com/office/drawing/2014/main" id="{D4828B6F-3260-8D3D-4F14-EF693E1DAB5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08" name="AutoShape 2">
          <a:extLst>
            <a:ext uri="{FF2B5EF4-FFF2-40B4-BE49-F238E27FC236}">
              <a16:creationId xmlns:a16="http://schemas.microsoft.com/office/drawing/2014/main" id="{BADF811E-042F-9D57-54E3-DCD87F8E65F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09" name="AutoShape 2">
          <a:extLst>
            <a:ext uri="{FF2B5EF4-FFF2-40B4-BE49-F238E27FC236}">
              <a16:creationId xmlns:a16="http://schemas.microsoft.com/office/drawing/2014/main" id="{4B66AECE-949C-CF1E-4BC0-106335F5D96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10" name="AutoShape 2">
          <a:extLst>
            <a:ext uri="{FF2B5EF4-FFF2-40B4-BE49-F238E27FC236}">
              <a16:creationId xmlns:a16="http://schemas.microsoft.com/office/drawing/2014/main" id="{9E6B6EA9-8372-7E17-8A1A-29A854C2DC9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11" name="AutoShape 2">
          <a:extLst>
            <a:ext uri="{FF2B5EF4-FFF2-40B4-BE49-F238E27FC236}">
              <a16:creationId xmlns:a16="http://schemas.microsoft.com/office/drawing/2014/main" id="{14AA4B60-CAF4-A0DB-9EBC-36C64E97CFA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12" name="AutoShape 2">
          <a:extLst>
            <a:ext uri="{FF2B5EF4-FFF2-40B4-BE49-F238E27FC236}">
              <a16:creationId xmlns:a16="http://schemas.microsoft.com/office/drawing/2014/main" id="{FF0672E9-8311-8B20-BD33-3AAAE7F63D8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13" name="AutoShape 2">
          <a:extLst>
            <a:ext uri="{FF2B5EF4-FFF2-40B4-BE49-F238E27FC236}">
              <a16:creationId xmlns:a16="http://schemas.microsoft.com/office/drawing/2014/main" id="{F7AA0A4A-E7DD-F10E-3746-B695EE5A812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14" name="AutoShape 2">
          <a:extLst>
            <a:ext uri="{FF2B5EF4-FFF2-40B4-BE49-F238E27FC236}">
              <a16:creationId xmlns:a16="http://schemas.microsoft.com/office/drawing/2014/main" id="{0A9CE037-EA06-E84E-7785-5A104381B72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15" name="AutoShape 2">
          <a:extLst>
            <a:ext uri="{FF2B5EF4-FFF2-40B4-BE49-F238E27FC236}">
              <a16:creationId xmlns:a16="http://schemas.microsoft.com/office/drawing/2014/main" id="{A7D5A7DF-1906-48EC-CC3D-A50CD187B7E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16" name="AutoShape 2">
          <a:extLst>
            <a:ext uri="{FF2B5EF4-FFF2-40B4-BE49-F238E27FC236}">
              <a16:creationId xmlns:a16="http://schemas.microsoft.com/office/drawing/2014/main" id="{6E980076-759B-493B-09D9-790F731D04E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17" name="AutoShape 2">
          <a:extLst>
            <a:ext uri="{FF2B5EF4-FFF2-40B4-BE49-F238E27FC236}">
              <a16:creationId xmlns:a16="http://schemas.microsoft.com/office/drawing/2014/main" id="{8ABDF9C5-58FB-1774-7DF8-A77C712C1B6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18" name="AutoShape 2">
          <a:extLst>
            <a:ext uri="{FF2B5EF4-FFF2-40B4-BE49-F238E27FC236}">
              <a16:creationId xmlns:a16="http://schemas.microsoft.com/office/drawing/2014/main" id="{A66E0510-EEA5-C04C-556E-B31F704366A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19" name="AutoShape 2">
          <a:extLst>
            <a:ext uri="{FF2B5EF4-FFF2-40B4-BE49-F238E27FC236}">
              <a16:creationId xmlns:a16="http://schemas.microsoft.com/office/drawing/2014/main" id="{FD22A703-0029-B864-8C4E-49FBE9ECC86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20" name="AutoShape 2">
          <a:extLst>
            <a:ext uri="{FF2B5EF4-FFF2-40B4-BE49-F238E27FC236}">
              <a16:creationId xmlns:a16="http://schemas.microsoft.com/office/drawing/2014/main" id="{07E8C589-DFB7-7CC7-C0D3-F4588731188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21" name="AutoShape 2">
          <a:extLst>
            <a:ext uri="{FF2B5EF4-FFF2-40B4-BE49-F238E27FC236}">
              <a16:creationId xmlns:a16="http://schemas.microsoft.com/office/drawing/2014/main" id="{7ABCB886-54DF-BFA3-3AC4-DDDAC4A2C76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22" name="AutoShape 2">
          <a:extLst>
            <a:ext uri="{FF2B5EF4-FFF2-40B4-BE49-F238E27FC236}">
              <a16:creationId xmlns:a16="http://schemas.microsoft.com/office/drawing/2014/main" id="{F7C46175-ED4A-A245-FBFD-0924186FD71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23" name="AutoShape 2">
          <a:extLst>
            <a:ext uri="{FF2B5EF4-FFF2-40B4-BE49-F238E27FC236}">
              <a16:creationId xmlns:a16="http://schemas.microsoft.com/office/drawing/2014/main" id="{6D9F6A7E-46C6-007D-F563-61A9881D7DA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24" name="AutoShape 2">
          <a:extLst>
            <a:ext uri="{FF2B5EF4-FFF2-40B4-BE49-F238E27FC236}">
              <a16:creationId xmlns:a16="http://schemas.microsoft.com/office/drawing/2014/main" id="{189B05C7-4670-B060-6332-96426E9B03F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25" name="AutoShape 2">
          <a:extLst>
            <a:ext uri="{FF2B5EF4-FFF2-40B4-BE49-F238E27FC236}">
              <a16:creationId xmlns:a16="http://schemas.microsoft.com/office/drawing/2014/main" id="{13DBC5E3-F788-63E1-EEDB-E709A522647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26" name="AutoShape 2">
          <a:extLst>
            <a:ext uri="{FF2B5EF4-FFF2-40B4-BE49-F238E27FC236}">
              <a16:creationId xmlns:a16="http://schemas.microsoft.com/office/drawing/2014/main" id="{43FC9F24-228B-623C-D3B4-DED57131059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27" name="AutoShape 2">
          <a:extLst>
            <a:ext uri="{FF2B5EF4-FFF2-40B4-BE49-F238E27FC236}">
              <a16:creationId xmlns:a16="http://schemas.microsoft.com/office/drawing/2014/main" id="{F9FDEEA0-E7BC-0CDA-118F-22D0571B44D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28" name="AutoShape 2">
          <a:extLst>
            <a:ext uri="{FF2B5EF4-FFF2-40B4-BE49-F238E27FC236}">
              <a16:creationId xmlns:a16="http://schemas.microsoft.com/office/drawing/2014/main" id="{9DB38AA1-058F-DC11-54EE-3F815C4BDBD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29" name="AutoShape 2">
          <a:extLst>
            <a:ext uri="{FF2B5EF4-FFF2-40B4-BE49-F238E27FC236}">
              <a16:creationId xmlns:a16="http://schemas.microsoft.com/office/drawing/2014/main" id="{D4BCDD9C-D2D8-1A09-50FE-6753BD11665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30" name="AutoShape 2">
          <a:extLst>
            <a:ext uri="{FF2B5EF4-FFF2-40B4-BE49-F238E27FC236}">
              <a16:creationId xmlns:a16="http://schemas.microsoft.com/office/drawing/2014/main" id="{948184B8-3EC5-582C-1CE1-34D298AD737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31" name="AutoShape 2">
          <a:extLst>
            <a:ext uri="{FF2B5EF4-FFF2-40B4-BE49-F238E27FC236}">
              <a16:creationId xmlns:a16="http://schemas.microsoft.com/office/drawing/2014/main" id="{A160321B-3C53-1ECE-7C9C-58D0A813515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32" name="AutoShape 2">
          <a:extLst>
            <a:ext uri="{FF2B5EF4-FFF2-40B4-BE49-F238E27FC236}">
              <a16:creationId xmlns:a16="http://schemas.microsoft.com/office/drawing/2014/main" id="{AEDB0B5C-B4A7-2F53-21E8-8D3B9FFBD2D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33" name="AutoShape 2">
          <a:extLst>
            <a:ext uri="{FF2B5EF4-FFF2-40B4-BE49-F238E27FC236}">
              <a16:creationId xmlns:a16="http://schemas.microsoft.com/office/drawing/2014/main" id="{28FDBBD8-0906-7EAE-35BF-4D26F388156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34" name="AutoShape 2">
          <a:extLst>
            <a:ext uri="{FF2B5EF4-FFF2-40B4-BE49-F238E27FC236}">
              <a16:creationId xmlns:a16="http://schemas.microsoft.com/office/drawing/2014/main" id="{27ECEECA-AA05-8068-19EF-C0FE00986D9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35" name="AutoShape 2">
          <a:extLst>
            <a:ext uri="{FF2B5EF4-FFF2-40B4-BE49-F238E27FC236}">
              <a16:creationId xmlns:a16="http://schemas.microsoft.com/office/drawing/2014/main" id="{98FFF60B-8CDF-9099-D248-0D2BD81445A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36" name="AutoShape 2">
          <a:extLst>
            <a:ext uri="{FF2B5EF4-FFF2-40B4-BE49-F238E27FC236}">
              <a16:creationId xmlns:a16="http://schemas.microsoft.com/office/drawing/2014/main" id="{EF88CB22-2459-DD12-F4C7-78DF06B2C2F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37" name="AutoShape 2">
          <a:extLst>
            <a:ext uri="{FF2B5EF4-FFF2-40B4-BE49-F238E27FC236}">
              <a16:creationId xmlns:a16="http://schemas.microsoft.com/office/drawing/2014/main" id="{58C258A0-D077-F690-7D37-7FB5C5C3DDF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38" name="AutoShape 2">
          <a:extLst>
            <a:ext uri="{FF2B5EF4-FFF2-40B4-BE49-F238E27FC236}">
              <a16:creationId xmlns:a16="http://schemas.microsoft.com/office/drawing/2014/main" id="{F9CF3216-FFF0-E809-D8B7-58BA58E94BF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39" name="AutoShape 2">
          <a:extLst>
            <a:ext uri="{FF2B5EF4-FFF2-40B4-BE49-F238E27FC236}">
              <a16:creationId xmlns:a16="http://schemas.microsoft.com/office/drawing/2014/main" id="{382EB4DB-FADB-FBCA-82A2-8D6999040CF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40" name="AutoShape 2">
          <a:extLst>
            <a:ext uri="{FF2B5EF4-FFF2-40B4-BE49-F238E27FC236}">
              <a16:creationId xmlns:a16="http://schemas.microsoft.com/office/drawing/2014/main" id="{AFE6DDBC-06BD-9672-E417-84CFBBAF1BD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41" name="AutoShape 2">
          <a:extLst>
            <a:ext uri="{FF2B5EF4-FFF2-40B4-BE49-F238E27FC236}">
              <a16:creationId xmlns:a16="http://schemas.microsoft.com/office/drawing/2014/main" id="{C78983F1-A549-18DA-CFBA-91739BA5CDA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42" name="AutoShape 2">
          <a:extLst>
            <a:ext uri="{FF2B5EF4-FFF2-40B4-BE49-F238E27FC236}">
              <a16:creationId xmlns:a16="http://schemas.microsoft.com/office/drawing/2014/main" id="{0E2B98B1-7BA1-4DF4-0F4B-E5898B85699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43" name="AutoShape 2">
          <a:extLst>
            <a:ext uri="{FF2B5EF4-FFF2-40B4-BE49-F238E27FC236}">
              <a16:creationId xmlns:a16="http://schemas.microsoft.com/office/drawing/2014/main" id="{83857CEE-2EF0-11C4-EA09-5BD4607F23A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44" name="AutoShape 2">
          <a:extLst>
            <a:ext uri="{FF2B5EF4-FFF2-40B4-BE49-F238E27FC236}">
              <a16:creationId xmlns:a16="http://schemas.microsoft.com/office/drawing/2014/main" id="{CE0A9DCD-2679-13C7-D09C-BE47716BA54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45" name="AutoShape 2">
          <a:extLst>
            <a:ext uri="{FF2B5EF4-FFF2-40B4-BE49-F238E27FC236}">
              <a16:creationId xmlns:a16="http://schemas.microsoft.com/office/drawing/2014/main" id="{23848B04-29AB-F8A8-4384-EC456BFCB6E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46" name="AutoShape 2">
          <a:extLst>
            <a:ext uri="{FF2B5EF4-FFF2-40B4-BE49-F238E27FC236}">
              <a16:creationId xmlns:a16="http://schemas.microsoft.com/office/drawing/2014/main" id="{7584C778-4F1A-CE12-B526-E3B46B44BE0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47" name="AutoShape 2">
          <a:extLst>
            <a:ext uri="{FF2B5EF4-FFF2-40B4-BE49-F238E27FC236}">
              <a16:creationId xmlns:a16="http://schemas.microsoft.com/office/drawing/2014/main" id="{8CA94AEB-402A-E235-2CDA-20BA75E7E3A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48" name="AutoShape 2">
          <a:extLst>
            <a:ext uri="{FF2B5EF4-FFF2-40B4-BE49-F238E27FC236}">
              <a16:creationId xmlns:a16="http://schemas.microsoft.com/office/drawing/2014/main" id="{D1CD53BB-6891-4F19-5692-987646A7BB4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49" name="AutoShape 2">
          <a:extLst>
            <a:ext uri="{FF2B5EF4-FFF2-40B4-BE49-F238E27FC236}">
              <a16:creationId xmlns:a16="http://schemas.microsoft.com/office/drawing/2014/main" id="{24119CE6-FA61-6B43-BCB9-C364A41EB8E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50" name="AutoShape 2">
          <a:extLst>
            <a:ext uri="{FF2B5EF4-FFF2-40B4-BE49-F238E27FC236}">
              <a16:creationId xmlns:a16="http://schemas.microsoft.com/office/drawing/2014/main" id="{875FD0A4-C0C0-0C5A-C624-352AF09DDE2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51" name="AutoShape 2">
          <a:extLst>
            <a:ext uri="{FF2B5EF4-FFF2-40B4-BE49-F238E27FC236}">
              <a16:creationId xmlns:a16="http://schemas.microsoft.com/office/drawing/2014/main" id="{04D62FFD-EE17-6C1E-8A22-F1D166178D0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52" name="AutoShape 2">
          <a:extLst>
            <a:ext uri="{FF2B5EF4-FFF2-40B4-BE49-F238E27FC236}">
              <a16:creationId xmlns:a16="http://schemas.microsoft.com/office/drawing/2014/main" id="{F6B93F03-9E6B-2EE4-0FC6-84B415214BB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53" name="AutoShape 2">
          <a:extLst>
            <a:ext uri="{FF2B5EF4-FFF2-40B4-BE49-F238E27FC236}">
              <a16:creationId xmlns:a16="http://schemas.microsoft.com/office/drawing/2014/main" id="{56CD7CD0-132E-1702-2B48-E6B9CA5CEF0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54" name="AutoShape 2">
          <a:extLst>
            <a:ext uri="{FF2B5EF4-FFF2-40B4-BE49-F238E27FC236}">
              <a16:creationId xmlns:a16="http://schemas.microsoft.com/office/drawing/2014/main" id="{73883C68-2E60-CF88-E015-56881242DEE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55" name="AutoShape 2">
          <a:extLst>
            <a:ext uri="{FF2B5EF4-FFF2-40B4-BE49-F238E27FC236}">
              <a16:creationId xmlns:a16="http://schemas.microsoft.com/office/drawing/2014/main" id="{FD8EABE8-8B89-D78D-3FD7-582EA59A957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56" name="AutoShape 2">
          <a:extLst>
            <a:ext uri="{FF2B5EF4-FFF2-40B4-BE49-F238E27FC236}">
              <a16:creationId xmlns:a16="http://schemas.microsoft.com/office/drawing/2014/main" id="{BD680F78-4FE6-2741-3209-0850011AF09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57" name="AutoShape 2">
          <a:extLst>
            <a:ext uri="{FF2B5EF4-FFF2-40B4-BE49-F238E27FC236}">
              <a16:creationId xmlns:a16="http://schemas.microsoft.com/office/drawing/2014/main" id="{CB32712B-F175-44E1-F616-3E042531D9E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58" name="AutoShape 2">
          <a:extLst>
            <a:ext uri="{FF2B5EF4-FFF2-40B4-BE49-F238E27FC236}">
              <a16:creationId xmlns:a16="http://schemas.microsoft.com/office/drawing/2014/main" id="{923FDC06-0DC6-3C90-21D7-37CFB9B2EB3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59" name="AutoShape 2">
          <a:extLst>
            <a:ext uri="{FF2B5EF4-FFF2-40B4-BE49-F238E27FC236}">
              <a16:creationId xmlns:a16="http://schemas.microsoft.com/office/drawing/2014/main" id="{F395CDE8-08B9-A41E-42CE-94333B6DDEE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60" name="AutoShape 2">
          <a:extLst>
            <a:ext uri="{FF2B5EF4-FFF2-40B4-BE49-F238E27FC236}">
              <a16:creationId xmlns:a16="http://schemas.microsoft.com/office/drawing/2014/main" id="{29919949-2565-0A63-BA94-9374EA499DF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61" name="AutoShape 2">
          <a:extLst>
            <a:ext uri="{FF2B5EF4-FFF2-40B4-BE49-F238E27FC236}">
              <a16:creationId xmlns:a16="http://schemas.microsoft.com/office/drawing/2014/main" id="{DB0557B1-C7DD-F82F-1B62-68F196F472A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62" name="AutoShape 2">
          <a:extLst>
            <a:ext uri="{FF2B5EF4-FFF2-40B4-BE49-F238E27FC236}">
              <a16:creationId xmlns:a16="http://schemas.microsoft.com/office/drawing/2014/main" id="{78CAFDA8-81B2-C302-1077-23F96851175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63" name="AutoShape 2">
          <a:extLst>
            <a:ext uri="{FF2B5EF4-FFF2-40B4-BE49-F238E27FC236}">
              <a16:creationId xmlns:a16="http://schemas.microsoft.com/office/drawing/2014/main" id="{62552C95-F0B6-F27C-FCC9-67924CF42EE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64" name="AutoShape 2">
          <a:extLst>
            <a:ext uri="{FF2B5EF4-FFF2-40B4-BE49-F238E27FC236}">
              <a16:creationId xmlns:a16="http://schemas.microsoft.com/office/drawing/2014/main" id="{7F3CEA80-9995-E85D-6950-40B69E41F67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65" name="AutoShape 2">
          <a:extLst>
            <a:ext uri="{FF2B5EF4-FFF2-40B4-BE49-F238E27FC236}">
              <a16:creationId xmlns:a16="http://schemas.microsoft.com/office/drawing/2014/main" id="{FA3F90A5-B975-860F-EE9E-BAD61C18AD5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66" name="AutoShape 2">
          <a:extLst>
            <a:ext uri="{FF2B5EF4-FFF2-40B4-BE49-F238E27FC236}">
              <a16:creationId xmlns:a16="http://schemas.microsoft.com/office/drawing/2014/main" id="{BF8F8DB0-95AC-6FF6-CC21-624F9F9A6E4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67" name="AutoShape 2">
          <a:extLst>
            <a:ext uri="{FF2B5EF4-FFF2-40B4-BE49-F238E27FC236}">
              <a16:creationId xmlns:a16="http://schemas.microsoft.com/office/drawing/2014/main" id="{3131D764-A8A9-DCC8-8ADD-9CA9369BDC2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68" name="AutoShape 2">
          <a:extLst>
            <a:ext uri="{FF2B5EF4-FFF2-40B4-BE49-F238E27FC236}">
              <a16:creationId xmlns:a16="http://schemas.microsoft.com/office/drawing/2014/main" id="{4FCF6688-85C4-FE7D-B24D-54EACA50A60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69" name="AutoShape 2">
          <a:extLst>
            <a:ext uri="{FF2B5EF4-FFF2-40B4-BE49-F238E27FC236}">
              <a16:creationId xmlns:a16="http://schemas.microsoft.com/office/drawing/2014/main" id="{A17E07E6-B672-CBAB-61C6-BD6B0639434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70" name="AutoShape 2">
          <a:extLst>
            <a:ext uri="{FF2B5EF4-FFF2-40B4-BE49-F238E27FC236}">
              <a16:creationId xmlns:a16="http://schemas.microsoft.com/office/drawing/2014/main" id="{61BC8B6F-E67D-7284-061D-3B7A64754BD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71" name="AutoShape 2">
          <a:extLst>
            <a:ext uri="{FF2B5EF4-FFF2-40B4-BE49-F238E27FC236}">
              <a16:creationId xmlns:a16="http://schemas.microsoft.com/office/drawing/2014/main" id="{F11ED456-8DB1-EB02-7AB2-DC8576DC896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72" name="AutoShape 2">
          <a:extLst>
            <a:ext uri="{FF2B5EF4-FFF2-40B4-BE49-F238E27FC236}">
              <a16:creationId xmlns:a16="http://schemas.microsoft.com/office/drawing/2014/main" id="{3B93EEE5-2CA4-F6E2-A10C-16981F69655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73" name="AutoShape 2">
          <a:extLst>
            <a:ext uri="{FF2B5EF4-FFF2-40B4-BE49-F238E27FC236}">
              <a16:creationId xmlns:a16="http://schemas.microsoft.com/office/drawing/2014/main" id="{77DF3523-C2D7-80D1-1B8E-F7144F3B6D0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74" name="AutoShape 2">
          <a:extLst>
            <a:ext uri="{FF2B5EF4-FFF2-40B4-BE49-F238E27FC236}">
              <a16:creationId xmlns:a16="http://schemas.microsoft.com/office/drawing/2014/main" id="{21340A28-4E29-6337-81B9-A753FA801A9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75" name="AutoShape 2">
          <a:extLst>
            <a:ext uri="{FF2B5EF4-FFF2-40B4-BE49-F238E27FC236}">
              <a16:creationId xmlns:a16="http://schemas.microsoft.com/office/drawing/2014/main" id="{B04E1440-F913-9E09-DAB7-374FBBFD369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76" name="AutoShape 2">
          <a:extLst>
            <a:ext uri="{FF2B5EF4-FFF2-40B4-BE49-F238E27FC236}">
              <a16:creationId xmlns:a16="http://schemas.microsoft.com/office/drawing/2014/main" id="{0D6EDDA1-298C-7AA6-6C45-676232690F4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77" name="AutoShape 2">
          <a:extLst>
            <a:ext uri="{FF2B5EF4-FFF2-40B4-BE49-F238E27FC236}">
              <a16:creationId xmlns:a16="http://schemas.microsoft.com/office/drawing/2014/main" id="{E31D342D-00E2-1DB4-D372-5D918CC57AB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78" name="AutoShape 2">
          <a:extLst>
            <a:ext uri="{FF2B5EF4-FFF2-40B4-BE49-F238E27FC236}">
              <a16:creationId xmlns:a16="http://schemas.microsoft.com/office/drawing/2014/main" id="{061F61BB-E094-CF3B-6E27-3818B4D670A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79" name="AutoShape 2">
          <a:extLst>
            <a:ext uri="{FF2B5EF4-FFF2-40B4-BE49-F238E27FC236}">
              <a16:creationId xmlns:a16="http://schemas.microsoft.com/office/drawing/2014/main" id="{EE8C6D59-71A4-B8EE-0C3B-DC4570B9C02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80" name="AutoShape 2">
          <a:extLst>
            <a:ext uri="{FF2B5EF4-FFF2-40B4-BE49-F238E27FC236}">
              <a16:creationId xmlns:a16="http://schemas.microsoft.com/office/drawing/2014/main" id="{C4097757-6469-D358-0298-CADC1486910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81" name="AutoShape 2">
          <a:extLst>
            <a:ext uri="{FF2B5EF4-FFF2-40B4-BE49-F238E27FC236}">
              <a16:creationId xmlns:a16="http://schemas.microsoft.com/office/drawing/2014/main" id="{F1563E44-9C8D-0AE8-6504-F46E3459D53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82" name="AutoShape 2">
          <a:extLst>
            <a:ext uri="{FF2B5EF4-FFF2-40B4-BE49-F238E27FC236}">
              <a16:creationId xmlns:a16="http://schemas.microsoft.com/office/drawing/2014/main" id="{900B09A1-A4FC-C577-890B-44F804C2284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83" name="AutoShape 2">
          <a:extLst>
            <a:ext uri="{FF2B5EF4-FFF2-40B4-BE49-F238E27FC236}">
              <a16:creationId xmlns:a16="http://schemas.microsoft.com/office/drawing/2014/main" id="{35C11D37-DAB2-BE55-016E-19A10FD8C90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84" name="AutoShape 2">
          <a:extLst>
            <a:ext uri="{FF2B5EF4-FFF2-40B4-BE49-F238E27FC236}">
              <a16:creationId xmlns:a16="http://schemas.microsoft.com/office/drawing/2014/main" id="{198106B8-C7DB-5652-3920-411F37ACCB8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85" name="AutoShape 2">
          <a:extLst>
            <a:ext uri="{FF2B5EF4-FFF2-40B4-BE49-F238E27FC236}">
              <a16:creationId xmlns:a16="http://schemas.microsoft.com/office/drawing/2014/main" id="{05A1DAEF-B577-16E9-82E7-4389B0CA2DA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86" name="AutoShape 2">
          <a:extLst>
            <a:ext uri="{FF2B5EF4-FFF2-40B4-BE49-F238E27FC236}">
              <a16:creationId xmlns:a16="http://schemas.microsoft.com/office/drawing/2014/main" id="{D7E6F978-8399-CB2F-F2D7-DC20AE93CE0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87" name="AutoShape 2">
          <a:extLst>
            <a:ext uri="{FF2B5EF4-FFF2-40B4-BE49-F238E27FC236}">
              <a16:creationId xmlns:a16="http://schemas.microsoft.com/office/drawing/2014/main" id="{9F9C913D-7412-1A51-9D89-DFDFEF2646D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88" name="AutoShape 2">
          <a:extLst>
            <a:ext uri="{FF2B5EF4-FFF2-40B4-BE49-F238E27FC236}">
              <a16:creationId xmlns:a16="http://schemas.microsoft.com/office/drawing/2014/main" id="{FC5C3D3D-0C67-D43D-65EC-B5EE5312E66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89" name="AutoShape 2">
          <a:extLst>
            <a:ext uri="{FF2B5EF4-FFF2-40B4-BE49-F238E27FC236}">
              <a16:creationId xmlns:a16="http://schemas.microsoft.com/office/drawing/2014/main" id="{CDDF93EE-7CCC-6CEA-B2E1-9450A68FC95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90" name="AutoShape 2">
          <a:extLst>
            <a:ext uri="{FF2B5EF4-FFF2-40B4-BE49-F238E27FC236}">
              <a16:creationId xmlns:a16="http://schemas.microsoft.com/office/drawing/2014/main" id="{64FA87EC-C93F-6637-9CB5-D53FA1D84F5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91" name="AutoShape 2">
          <a:extLst>
            <a:ext uri="{FF2B5EF4-FFF2-40B4-BE49-F238E27FC236}">
              <a16:creationId xmlns:a16="http://schemas.microsoft.com/office/drawing/2014/main" id="{EB276869-B195-BB66-CB38-19932DAC8C6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92" name="AutoShape 2">
          <a:extLst>
            <a:ext uri="{FF2B5EF4-FFF2-40B4-BE49-F238E27FC236}">
              <a16:creationId xmlns:a16="http://schemas.microsoft.com/office/drawing/2014/main" id="{C2FB6005-408D-5E5D-7238-1BC52317C63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93" name="AutoShape 2">
          <a:extLst>
            <a:ext uri="{FF2B5EF4-FFF2-40B4-BE49-F238E27FC236}">
              <a16:creationId xmlns:a16="http://schemas.microsoft.com/office/drawing/2014/main" id="{BD1488B6-45FD-3E27-E99A-28B690E0BF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94" name="AutoShape 2">
          <a:extLst>
            <a:ext uri="{FF2B5EF4-FFF2-40B4-BE49-F238E27FC236}">
              <a16:creationId xmlns:a16="http://schemas.microsoft.com/office/drawing/2014/main" id="{7CDAA2D3-E121-DA03-2F42-5FFC2943E7E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95" name="AutoShape 2">
          <a:extLst>
            <a:ext uri="{FF2B5EF4-FFF2-40B4-BE49-F238E27FC236}">
              <a16:creationId xmlns:a16="http://schemas.microsoft.com/office/drawing/2014/main" id="{F2D095C8-4251-8984-B671-D97505E7D95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96" name="AutoShape 2">
          <a:extLst>
            <a:ext uri="{FF2B5EF4-FFF2-40B4-BE49-F238E27FC236}">
              <a16:creationId xmlns:a16="http://schemas.microsoft.com/office/drawing/2014/main" id="{C3207AF0-9359-9E5D-FC8A-092409DDB80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12</xdr:col>
      <xdr:colOff>333375</xdr:colOff>
      <xdr:row>52</xdr:row>
      <xdr:rowOff>47625</xdr:rowOff>
    </xdr:to>
    <xdr:sp macro="" textlink="">
      <xdr:nvSpPr>
        <xdr:cNvPr id="1597" name="AutoShape 2">
          <a:extLst>
            <a:ext uri="{FF2B5EF4-FFF2-40B4-BE49-F238E27FC236}">
              <a16:creationId xmlns:a16="http://schemas.microsoft.com/office/drawing/2014/main" id="{570D686C-B984-8431-154E-3BAAC8F0FDF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5372280</xdr:colOff>
      <xdr:row>0</xdr:row>
      <xdr:rowOff>0</xdr:rowOff>
    </xdr:from>
    <xdr:to>
      <xdr:col>3</xdr:col>
      <xdr:colOff>666720</xdr:colOff>
      <xdr:row>0</xdr:row>
      <xdr:rowOff>286560</xdr:rowOff>
    </xdr:to>
    <xdr:pic>
      <xdr:nvPicPr>
        <xdr:cNvPr id="2" name="Picture 2">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6068520" y="0"/>
          <a:ext cx="1351080" cy="286560"/>
        </a:xfrm>
        <a:prstGeom prst="rect">
          <a:avLst/>
        </a:prstGeom>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3638520</xdr:colOff>
      <xdr:row>0</xdr:row>
      <xdr:rowOff>0</xdr:rowOff>
    </xdr:from>
    <xdr:to>
      <xdr:col>0</xdr:col>
      <xdr:colOff>5028480</xdr:colOff>
      <xdr:row>0</xdr:row>
      <xdr:rowOff>312120</xdr:rowOff>
    </xdr:to>
    <xdr:pic>
      <xdr:nvPicPr>
        <xdr:cNvPr id="2" name="Picture 3">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tretch/>
      </xdr:blipFill>
      <xdr:spPr>
        <a:xfrm>
          <a:off x="3638520" y="0"/>
          <a:ext cx="1389960" cy="312120"/>
        </a:xfrm>
        <a:prstGeom prst="rect">
          <a:avLst/>
        </a:prstGeom>
        <a:ln>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4:H1241" totalsRowShown="0">
  <tableColumns count="8">
    <tableColumn id="1" xr3:uid="{00000000-0010-0000-0000-000001000000}" name="Date"/>
    <tableColumn id="2" xr3:uid="{00000000-0010-0000-0000-000002000000}" name="Num"/>
    <tableColumn id="3" xr3:uid="{00000000-0010-0000-0000-000003000000}" name="Payee / Description"/>
    <tableColumn id="4" xr3:uid="{00000000-0010-0000-0000-000004000000}" name="Category"/>
    <tableColumn id="5" xr3:uid="{00000000-0010-0000-0000-000005000000}" name="R"/>
    <tableColumn id="6" xr3:uid="{00000000-0010-0000-0000-000006000000}" name="Withdrawal,_x000a_Payment (-)"/>
    <tableColumn id="7" xr3:uid="{00000000-0010-0000-0000-000007000000}" name="Deposit,_x000a_Credit (+)"/>
    <tableColumn id="8" xr3:uid="{00000000-0010-0000-0000-000008000000}" name="Balanc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www.vertex42.com/ExcelTips/workbook.html" TargetMode="External"/><Relationship Id="rId2" Type="http://schemas.openxmlformats.org/officeDocument/2006/relationships/hyperlink" Target="http://www.vertex42.com/ExcelTemplates/money-management-template.html" TargetMode="External"/><Relationship Id="rId1" Type="http://schemas.openxmlformats.org/officeDocument/2006/relationships/hyperlink" Target="http://www.vertex42.com/ExcelTemplates/excel-checkbook.html" TargetMode="External"/><Relationship Id="rId6" Type="http://schemas.openxmlformats.org/officeDocument/2006/relationships/drawing" Target="../drawings/drawing2.xml"/><Relationship Id="rId5" Type="http://schemas.openxmlformats.org/officeDocument/2006/relationships/hyperlink" Target="http://www.vertex42.com/ExcelArticles/how-to-budget.html" TargetMode="External"/><Relationship Id="rId4" Type="http://schemas.openxmlformats.org/officeDocument/2006/relationships/hyperlink" Target="http://www.vertex42.com/ExcelArticles/how-to-make-a-budget.htm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www.vertex42.com/licensing/EULA_privateuse.html" TargetMode="External"/><Relationship Id="rId1" Type="http://schemas.openxmlformats.org/officeDocument/2006/relationships/hyperlink" Target="http://www.vertex42.com/ExcelTemplates/excel-checkbook.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MK1242"/>
  <sheetViews>
    <sheetView showGridLines="0" tabSelected="1" zoomScaleNormal="100" workbookViewId="0">
      <pane ySplit="15" topLeftCell="A1074" activePane="bottomLeft" state="frozen"/>
      <selection pane="bottomLeft" activeCell="F1096" sqref="F1096"/>
    </sheetView>
  </sheetViews>
  <sheetFormatPr defaultRowHeight="14.25" x14ac:dyDescent="0.2"/>
  <cols>
    <col min="1" max="1" width="8" style="1" customWidth="1"/>
    <col min="2" max="2" width="7" style="1" customWidth="1"/>
    <col min="3" max="3" width="25.75" style="1" customWidth="1"/>
    <col min="4" max="4" width="14.75" style="1" customWidth="1"/>
    <col min="5" max="5" width="4" style="1" customWidth="1"/>
    <col min="6" max="7" width="10.625" style="1" customWidth="1"/>
    <col min="8" max="8" width="10.875" style="1" customWidth="1"/>
    <col min="9" max="1025" width="9" style="1" customWidth="1"/>
  </cols>
  <sheetData>
    <row r="1" spans="1:8" ht="23.25" x14ac:dyDescent="0.25">
      <c r="A1" s="2" t="s">
        <v>0</v>
      </c>
      <c r="B1" s="2"/>
      <c r="C1" s="2"/>
      <c r="D1" s="2"/>
      <c r="E1" s="3" t="s">
        <v>1</v>
      </c>
      <c r="F1" s="76"/>
      <c r="G1" s="76"/>
      <c r="H1" s="76"/>
    </row>
    <row r="3" spans="1:8" ht="15" x14ac:dyDescent="0.25">
      <c r="G3" s="4" t="s">
        <v>2</v>
      </c>
      <c r="H3" s="5">
        <f ca="1">VLOOKUP(9E+100,Table1[Balance],1)</f>
        <v>10682.312000000009</v>
      </c>
    </row>
    <row r="4" spans="1:8" x14ac:dyDescent="0.2">
      <c r="G4" s="6"/>
      <c r="H4" s="7"/>
    </row>
    <row r="5" spans="1:8" hidden="1" x14ac:dyDescent="0.2">
      <c r="G5" s="8"/>
    </row>
    <row r="6" spans="1:8" hidden="1" x14ac:dyDescent="0.2">
      <c r="G6" s="8"/>
    </row>
    <row r="7" spans="1:8" hidden="1" x14ac:dyDescent="0.2">
      <c r="G7" s="8"/>
    </row>
    <row r="8" spans="1:8" hidden="1" x14ac:dyDescent="0.2">
      <c r="G8" s="8"/>
    </row>
    <row r="9" spans="1:8" hidden="1" x14ac:dyDescent="0.2">
      <c r="G9" s="8"/>
    </row>
    <row r="10" spans="1:8" hidden="1" x14ac:dyDescent="0.2">
      <c r="G10" s="8"/>
    </row>
    <row r="11" spans="1:8" hidden="1" x14ac:dyDescent="0.2">
      <c r="G11" s="8"/>
    </row>
    <row r="12" spans="1:8" x14ac:dyDescent="0.2">
      <c r="G12" s="8"/>
    </row>
    <row r="13" spans="1:8" s="10" customFormat="1" ht="17.25" customHeight="1" x14ac:dyDescent="0.2">
      <c r="A13" s="9" t="s">
        <v>3</v>
      </c>
      <c r="B13" s="9"/>
      <c r="C13" s="9"/>
      <c r="E13" s="11"/>
      <c r="G13" s="12" t="s">
        <v>4</v>
      </c>
      <c r="H13" s="13">
        <v>100</v>
      </c>
    </row>
    <row r="14" spans="1:8" ht="24" x14ac:dyDescent="0.2">
      <c r="A14" s="14" t="s">
        <v>5</v>
      </c>
      <c r="B14" s="14" t="s">
        <v>6</v>
      </c>
      <c r="C14" s="15" t="s">
        <v>7</v>
      </c>
      <c r="D14" s="15" t="s">
        <v>8</v>
      </c>
      <c r="E14" s="14" t="s">
        <v>9</v>
      </c>
      <c r="F14" s="16" t="s">
        <v>10</v>
      </c>
      <c r="G14" s="16" t="s">
        <v>11</v>
      </c>
      <c r="H14" s="14" t="s">
        <v>12</v>
      </c>
    </row>
    <row r="15" spans="1:8" x14ac:dyDescent="0.2">
      <c r="A15" s="17"/>
      <c r="B15" s="18"/>
      <c r="C15" s="19"/>
      <c r="D15" s="20"/>
      <c r="E15" s="18"/>
      <c r="F15" s="21"/>
      <c r="G15" s="21"/>
      <c r="H15" s="22">
        <v>0</v>
      </c>
    </row>
    <row r="16" spans="1:8" s="10" customFormat="1" x14ac:dyDescent="0.2">
      <c r="A16" s="23">
        <v>42351</v>
      </c>
      <c r="B16" s="24"/>
      <c r="C16" s="25" t="str">
        <f>"[ Balance As of "&amp;TEXT(A16,"mm/dd/yyyy")&amp;" ]"</f>
        <v>[ Balance As of 12/13/2015 ]</v>
      </c>
      <c r="D16" s="24" t="s">
        <v>13</v>
      </c>
      <c r="E16" s="26" t="s">
        <v>14</v>
      </c>
      <c r="F16" s="27"/>
      <c r="G16" s="28">
        <v>316.52</v>
      </c>
      <c r="H16" s="29">
        <f t="shared" ref="H16" ca="1" si="0">IF(AND(ISBLANK(F16),ISBLANK(G16))," - ",OFFSET(H16,-1,0,1,1)+G16-F16)</f>
        <v>316.52</v>
      </c>
    </row>
    <row r="17" spans="1:8" x14ac:dyDescent="0.2">
      <c r="A17" s="17">
        <v>44926</v>
      </c>
      <c r="B17" s="18"/>
      <c r="C17" s="19" t="s">
        <v>33</v>
      </c>
      <c r="D17" s="30" t="s">
        <v>40</v>
      </c>
      <c r="E17" s="18" t="s">
        <v>14</v>
      </c>
      <c r="F17" s="31"/>
      <c r="G17" s="31">
        <v>2700.82</v>
      </c>
      <c r="H17" s="37">
        <f t="shared" ref="H17:H66" ca="1" si="1">IF(AND(ISBLANK(F17),ISBLANK(G17)),"",OFFSET(H17,-1,0,1,1)+G17-F17)</f>
        <v>3017.34</v>
      </c>
    </row>
    <row r="18" spans="1:8" x14ac:dyDescent="0.2">
      <c r="A18" s="17">
        <v>44926</v>
      </c>
      <c r="B18" s="18"/>
      <c r="C18" s="19" t="s">
        <v>33</v>
      </c>
      <c r="D18" s="30" t="s">
        <v>245</v>
      </c>
      <c r="E18" s="18" t="s">
        <v>14</v>
      </c>
      <c r="F18" s="31"/>
      <c r="G18" s="31">
        <v>2.5</v>
      </c>
      <c r="H18" s="37">
        <f t="shared" ca="1" si="1"/>
        <v>3019.84</v>
      </c>
    </row>
    <row r="19" spans="1:8" x14ac:dyDescent="0.2">
      <c r="A19" s="17">
        <v>44922</v>
      </c>
      <c r="B19" s="18"/>
      <c r="C19" s="19" t="s">
        <v>33</v>
      </c>
      <c r="D19" s="30" t="s">
        <v>246</v>
      </c>
      <c r="E19" s="18" t="s">
        <v>14</v>
      </c>
      <c r="F19" s="31"/>
      <c r="G19" s="31">
        <v>84</v>
      </c>
      <c r="H19" s="37">
        <f t="shared" ca="1" si="1"/>
        <v>3103.84</v>
      </c>
    </row>
    <row r="20" spans="1:8" x14ac:dyDescent="0.2">
      <c r="A20" s="17">
        <v>44919</v>
      </c>
      <c r="B20" s="18"/>
      <c r="C20" s="19" t="s">
        <v>66</v>
      </c>
      <c r="D20" s="30"/>
      <c r="E20" s="18" t="s">
        <v>14</v>
      </c>
      <c r="F20" s="31"/>
      <c r="G20" s="31">
        <v>48</v>
      </c>
      <c r="H20" s="37">
        <f t="shared" ca="1" si="1"/>
        <v>3151.84</v>
      </c>
    </row>
    <row r="21" spans="1:8" x14ac:dyDescent="0.2">
      <c r="A21" s="17">
        <v>44917</v>
      </c>
      <c r="B21" s="18"/>
      <c r="C21" s="19" t="s">
        <v>33</v>
      </c>
      <c r="D21" s="30" t="s">
        <v>34</v>
      </c>
      <c r="E21" s="18" t="s">
        <v>14</v>
      </c>
      <c r="F21" s="31">
        <v>22.5</v>
      </c>
      <c r="G21" s="31"/>
      <c r="H21" s="37">
        <f t="shared" ca="1" si="1"/>
        <v>3129.34</v>
      </c>
    </row>
    <row r="22" spans="1:8" x14ac:dyDescent="0.2">
      <c r="A22" s="17">
        <v>44926</v>
      </c>
      <c r="B22" s="18"/>
      <c r="C22" s="19" t="s">
        <v>29</v>
      </c>
      <c r="D22" s="30"/>
      <c r="E22" s="18" t="s">
        <v>14</v>
      </c>
      <c r="F22" s="31">
        <v>153.79</v>
      </c>
      <c r="G22" s="31"/>
      <c r="H22" s="37">
        <f t="shared" ca="1" si="1"/>
        <v>2975.55</v>
      </c>
    </row>
    <row r="23" spans="1:8" x14ac:dyDescent="0.2">
      <c r="A23" s="17">
        <v>44562</v>
      </c>
      <c r="B23" s="18"/>
      <c r="C23" s="19" t="s">
        <v>28</v>
      </c>
      <c r="D23" s="30" t="s">
        <v>55</v>
      </c>
      <c r="E23" s="18" t="s">
        <v>14</v>
      </c>
      <c r="F23" s="31">
        <v>1175.48</v>
      </c>
      <c r="G23" s="31"/>
      <c r="H23" s="37">
        <f t="shared" ca="1" si="1"/>
        <v>1800.0700000000002</v>
      </c>
    </row>
    <row r="24" spans="1:8" x14ac:dyDescent="0.2">
      <c r="A24" s="17">
        <v>44562</v>
      </c>
      <c r="B24" s="18"/>
      <c r="C24" s="19" t="s">
        <v>59</v>
      </c>
      <c r="D24" s="30" t="s">
        <v>60</v>
      </c>
      <c r="E24" s="18" t="s">
        <v>14</v>
      </c>
      <c r="F24" s="31">
        <v>119</v>
      </c>
      <c r="G24" s="31"/>
      <c r="H24" s="37">
        <f t="shared" ca="1" si="1"/>
        <v>1681.0700000000002</v>
      </c>
    </row>
    <row r="25" spans="1:8" x14ac:dyDescent="0.2">
      <c r="A25" s="17">
        <v>44562</v>
      </c>
      <c r="B25" s="18"/>
      <c r="C25" s="19" t="s">
        <v>18</v>
      </c>
      <c r="D25" s="30"/>
      <c r="E25" s="18" t="s">
        <v>14</v>
      </c>
      <c r="F25" s="31">
        <v>83</v>
      </c>
      <c r="G25" s="31"/>
      <c r="H25" s="37">
        <f t="shared" ca="1" si="1"/>
        <v>1598.0700000000002</v>
      </c>
    </row>
    <row r="26" spans="1:8" x14ac:dyDescent="0.2">
      <c r="A26" s="17">
        <v>44565</v>
      </c>
      <c r="B26" s="18"/>
      <c r="C26" s="19" t="s">
        <v>247</v>
      </c>
      <c r="D26" s="30"/>
      <c r="E26" s="18" t="s">
        <v>14</v>
      </c>
      <c r="F26" s="31">
        <v>40</v>
      </c>
      <c r="G26" s="31"/>
      <c r="H26" s="37">
        <f t="shared" ca="1" si="1"/>
        <v>1558.0700000000002</v>
      </c>
    </row>
    <row r="27" spans="1:8" x14ac:dyDescent="0.2">
      <c r="A27" s="17">
        <v>44568</v>
      </c>
      <c r="B27" s="18"/>
      <c r="C27" s="19" t="s">
        <v>33</v>
      </c>
      <c r="D27" s="30" t="s">
        <v>56</v>
      </c>
      <c r="E27" s="18" t="s">
        <v>14</v>
      </c>
      <c r="F27" s="31">
        <v>3200.18</v>
      </c>
      <c r="G27" s="31"/>
      <c r="H27" s="37">
        <f t="shared" ca="1" si="1"/>
        <v>-1642.1099999999997</v>
      </c>
    </row>
    <row r="28" spans="1:8" x14ac:dyDescent="0.2">
      <c r="A28" s="17">
        <v>44568</v>
      </c>
      <c r="B28" s="18"/>
      <c r="C28" s="19" t="s">
        <v>52</v>
      </c>
      <c r="D28" s="30"/>
      <c r="E28" s="18" t="s">
        <v>14</v>
      </c>
      <c r="F28" s="31"/>
      <c r="G28" s="31">
        <v>1650</v>
      </c>
      <c r="H28" s="37">
        <f t="shared" ca="1" si="1"/>
        <v>7.8900000000003274</v>
      </c>
    </row>
    <row r="29" spans="1:8" x14ac:dyDescent="0.2">
      <c r="A29" s="17">
        <v>44568</v>
      </c>
      <c r="B29" s="18"/>
      <c r="C29" s="19" t="s">
        <v>66</v>
      </c>
      <c r="D29" s="30"/>
      <c r="E29" s="18" t="s">
        <v>14</v>
      </c>
      <c r="F29" s="31">
        <v>6</v>
      </c>
      <c r="G29" s="31"/>
      <c r="H29" s="37">
        <f t="shared" ca="1" si="1"/>
        <v>1.8900000000003274</v>
      </c>
    </row>
    <row r="30" spans="1:8" x14ac:dyDescent="0.2">
      <c r="A30" s="17">
        <v>44571</v>
      </c>
      <c r="B30" s="18"/>
      <c r="C30" s="19" t="s">
        <v>66</v>
      </c>
      <c r="D30" s="30"/>
      <c r="E30" s="18" t="s">
        <v>14</v>
      </c>
      <c r="F30" s="31"/>
      <c r="G30" s="31">
        <v>22.96</v>
      </c>
      <c r="H30" s="37">
        <f t="shared" ca="1" si="1"/>
        <v>24.850000000000328</v>
      </c>
    </row>
    <row r="31" spans="1:8" x14ac:dyDescent="0.2">
      <c r="A31" s="17">
        <v>44575</v>
      </c>
      <c r="B31" s="18"/>
      <c r="C31" s="19" t="s">
        <v>33</v>
      </c>
      <c r="D31" s="30" t="s">
        <v>40</v>
      </c>
      <c r="E31" s="18" t="s">
        <v>14</v>
      </c>
      <c r="F31" s="31"/>
      <c r="G31" s="31">
        <v>2814.85</v>
      </c>
      <c r="H31" s="37">
        <f t="shared" ca="1" si="1"/>
        <v>2839.7000000000003</v>
      </c>
    </row>
    <row r="32" spans="1:8" x14ac:dyDescent="0.2">
      <c r="A32" s="17">
        <v>44575</v>
      </c>
      <c r="B32" s="18"/>
      <c r="C32" s="19" t="s">
        <v>33</v>
      </c>
      <c r="D32" s="30" t="s">
        <v>50</v>
      </c>
      <c r="E32" s="18" t="s">
        <v>14</v>
      </c>
      <c r="F32" s="31">
        <v>1781.83</v>
      </c>
      <c r="G32" s="31"/>
      <c r="H32" s="37">
        <f t="shared" ca="1" si="1"/>
        <v>1057.8700000000003</v>
      </c>
    </row>
    <row r="33" spans="1:8" x14ac:dyDescent="0.2">
      <c r="A33" s="17">
        <v>44575</v>
      </c>
      <c r="B33" s="18"/>
      <c r="C33" s="19" t="s">
        <v>31</v>
      </c>
      <c r="D33" s="30" t="s">
        <v>64</v>
      </c>
      <c r="E33" s="18" t="s">
        <v>14</v>
      </c>
      <c r="F33" s="31">
        <v>545.78</v>
      </c>
      <c r="G33" s="31"/>
      <c r="H33" s="37">
        <f t="shared" ca="1" si="1"/>
        <v>512.09000000000037</v>
      </c>
    </row>
    <row r="34" spans="1:8" x14ac:dyDescent="0.2">
      <c r="A34" s="17">
        <v>44575</v>
      </c>
      <c r="B34" s="18"/>
      <c r="C34" s="19" t="s">
        <v>46</v>
      </c>
      <c r="D34" s="30" t="s">
        <v>47</v>
      </c>
      <c r="E34" s="18" t="s">
        <v>14</v>
      </c>
      <c r="F34" s="31">
        <v>53.85</v>
      </c>
      <c r="G34" s="31"/>
      <c r="H34" s="37">
        <f t="shared" ca="1" si="1"/>
        <v>458.24000000000035</v>
      </c>
    </row>
    <row r="35" spans="1:8" x14ac:dyDescent="0.2">
      <c r="A35" s="17">
        <v>44575</v>
      </c>
      <c r="B35" s="18"/>
      <c r="C35" s="19" t="s">
        <v>244</v>
      </c>
      <c r="D35" s="30" t="s">
        <v>47</v>
      </c>
      <c r="E35" s="18" t="s">
        <v>14</v>
      </c>
      <c r="F35" s="31">
        <v>100</v>
      </c>
      <c r="G35" s="31"/>
      <c r="H35" s="37">
        <f t="shared" ca="1" si="1"/>
        <v>358.24000000000035</v>
      </c>
    </row>
    <row r="36" spans="1:8" x14ac:dyDescent="0.2">
      <c r="A36" s="17">
        <v>44582</v>
      </c>
      <c r="B36" s="18"/>
      <c r="C36" s="19" t="s">
        <v>33</v>
      </c>
      <c r="D36" s="30" t="s">
        <v>41</v>
      </c>
      <c r="E36" s="18" t="s">
        <v>14</v>
      </c>
      <c r="F36" s="31">
        <v>100</v>
      </c>
      <c r="G36" s="31"/>
      <c r="H36" s="37">
        <f t="shared" ca="1" si="1"/>
        <v>258.24000000000035</v>
      </c>
    </row>
    <row r="37" spans="1:8" x14ac:dyDescent="0.2">
      <c r="A37" s="17">
        <v>44589</v>
      </c>
      <c r="B37" s="18"/>
      <c r="C37" s="19" t="s">
        <v>33</v>
      </c>
      <c r="D37" s="30" t="s">
        <v>40</v>
      </c>
      <c r="E37" s="18" t="s">
        <v>14</v>
      </c>
      <c r="F37" s="31"/>
      <c r="G37" s="31">
        <v>2814.84</v>
      </c>
      <c r="H37" s="37">
        <f t="shared" ca="1" si="1"/>
        <v>3073.0800000000004</v>
      </c>
    </row>
    <row r="38" spans="1:8" x14ac:dyDescent="0.2">
      <c r="A38" s="17">
        <v>44589</v>
      </c>
      <c r="B38" s="18"/>
      <c r="C38" s="19" t="s">
        <v>36</v>
      </c>
      <c r="D38" s="30" t="s">
        <v>62</v>
      </c>
      <c r="E38" s="18" t="s">
        <v>14</v>
      </c>
      <c r="F38" s="31">
        <v>510</v>
      </c>
      <c r="G38" s="31"/>
      <c r="H38" s="37">
        <f t="shared" ca="1" si="1"/>
        <v>2563.0800000000004</v>
      </c>
    </row>
    <row r="39" spans="1:8" x14ac:dyDescent="0.2">
      <c r="A39" s="17">
        <v>44589</v>
      </c>
      <c r="B39" s="18"/>
      <c r="C39" s="19" t="s">
        <v>27</v>
      </c>
      <c r="D39" s="30" t="s">
        <v>30</v>
      </c>
      <c r="E39" s="18" t="s">
        <v>14</v>
      </c>
      <c r="F39" s="31">
        <v>50.86</v>
      </c>
      <c r="G39" s="31"/>
      <c r="H39" s="37">
        <f t="shared" ca="1" si="1"/>
        <v>2512.2200000000003</v>
      </c>
    </row>
    <row r="40" spans="1:8" x14ac:dyDescent="0.2">
      <c r="A40" s="17">
        <v>44589</v>
      </c>
      <c r="B40" s="18"/>
      <c r="C40" s="19" t="s">
        <v>28</v>
      </c>
      <c r="D40" s="30" t="s">
        <v>55</v>
      </c>
      <c r="E40" s="18" t="s">
        <v>14</v>
      </c>
      <c r="F40" s="31">
        <v>1175.48</v>
      </c>
      <c r="G40" s="31"/>
      <c r="H40" s="37">
        <f t="shared" ca="1" si="1"/>
        <v>1336.7400000000002</v>
      </c>
    </row>
    <row r="41" spans="1:8" x14ac:dyDescent="0.2">
      <c r="A41" s="17">
        <v>44591</v>
      </c>
      <c r="B41" s="18"/>
      <c r="C41" s="19" t="s">
        <v>29</v>
      </c>
      <c r="D41" s="30" t="s">
        <v>45</v>
      </c>
      <c r="E41" s="18" t="s">
        <v>14</v>
      </c>
      <c r="F41" s="31">
        <v>153.63999999999999</v>
      </c>
      <c r="G41" s="31"/>
      <c r="H41" s="37">
        <f t="shared" ca="1" si="1"/>
        <v>1183.1000000000004</v>
      </c>
    </row>
    <row r="42" spans="1:8" x14ac:dyDescent="0.2">
      <c r="A42" s="17">
        <v>44592</v>
      </c>
      <c r="B42" s="18">
        <v>1383</v>
      </c>
      <c r="C42" s="19" t="s">
        <v>48</v>
      </c>
      <c r="D42" s="30" t="s">
        <v>248</v>
      </c>
      <c r="E42" s="18" t="s">
        <v>14</v>
      </c>
      <c r="F42" s="31">
        <v>80</v>
      </c>
      <c r="G42" s="31"/>
      <c r="H42" s="37">
        <f t="shared" ca="1" si="1"/>
        <v>1103.1000000000004</v>
      </c>
    </row>
    <row r="43" spans="1:8" x14ac:dyDescent="0.2">
      <c r="A43" s="17">
        <v>44592</v>
      </c>
      <c r="B43" s="18">
        <v>1384</v>
      </c>
      <c r="C43" s="19" t="s">
        <v>48</v>
      </c>
      <c r="D43" s="30" t="s">
        <v>248</v>
      </c>
      <c r="E43" s="18" t="s">
        <v>14</v>
      </c>
      <c r="F43" s="31">
        <v>80</v>
      </c>
      <c r="G43" s="31"/>
      <c r="H43" s="37">
        <f t="shared" ca="1" si="1"/>
        <v>1023.1000000000004</v>
      </c>
    </row>
    <row r="44" spans="1:8" x14ac:dyDescent="0.2">
      <c r="A44" s="17">
        <v>44595</v>
      </c>
      <c r="B44" s="18"/>
      <c r="C44" s="19" t="s">
        <v>33</v>
      </c>
      <c r="D44" s="30" t="s">
        <v>66</v>
      </c>
      <c r="E44" s="18" t="s">
        <v>14</v>
      </c>
      <c r="F44" s="31"/>
      <c r="G44" s="31">
        <v>10</v>
      </c>
      <c r="H44" s="37">
        <f t="shared" ca="1" si="1"/>
        <v>1033.1000000000004</v>
      </c>
    </row>
    <row r="45" spans="1:8" x14ac:dyDescent="0.2">
      <c r="A45" s="17">
        <v>44588</v>
      </c>
      <c r="B45" s="18"/>
      <c r="C45" s="19" t="s">
        <v>33</v>
      </c>
      <c r="D45" s="30" t="s">
        <v>66</v>
      </c>
      <c r="E45" s="18" t="s">
        <v>14</v>
      </c>
      <c r="F45" s="31"/>
      <c r="G45" s="31">
        <v>60</v>
      </c>
      <c r="H45" s="37">
        <f t="shared" ca="1" si="1"/>
        <v>1093.1000000000004</v>
      </c>
    </row>
    <row r="46" spans="1:8" x14ac:dyDescent="0.2">
      <c r="A46" s="17">
        <v>44599</v>
      </c>
      <c r="B46" s="18"/>
      <c r="C46" s="19" t="s">
        <v>22</v>
      </c>
      <c r="D46" s="30"/>
      <c r="E46" s="18" t="s">
        <v>14</v>
      </c>
      <c r="F46" s="31">
        <v>60.5</v>
      </c>
      <c r="G46" s="31"/>
      <c r="H46" s="37">
        <f t="shared" ca="1" si="1"/>
        <v>1032.6000000000004</v>
      </c>
    </row>
    <row r="47" spans="1:8" x14ac:dyDescent="0.2">
      <c r="A47" s="17">
        <v>44601</v>
      </c>
      <c r="B47" s="18"/>
      <c r="C47" s="19" t="s">
        <v>33</v>
      </c>
      <c r="D47" s="30" t="s">
        <v>56</v>
      </c>
      <c r="E47" s="18" t="s">
        <v>14</v>
      </c>
      <c r="F47" s="31">
        <v>1962.37</v>
      </c>
      <c r="G47" s="31"/>
      <c r="H47" s="37">
        <f t="shared" ca="1" si="1"/>
        <v>-929.76999999999953</v>
      </c>
    </row>
    <row r="48" spans="1:8" x14ac:dyDescent="0.2">
      <c r="A48" s="17">
        <v>44603</v>
      </c>
      <c r="B48" s="18"/>
      <c r="C48" s="19" t="s">
        <v>33</v>
      </c>
      <c r="D48" s="30" t="s">
        <v>40</v>
      </c>
      <c r="E48" s="18" t="s">
        <v>14</v>
      </c>
      <c r="F48" s="31"/>
      <c r="G48" s="31">
        <v>2871.85</v>
      </c>
      <c r="H48" s="37">
        <f t="shared" ca="1" si="1"/>
        <v>1942.0800000000004</v>
      </c>
    </row>
    <row r="49" spans="1:8" x14ac:dyDescent="0.2">
      <c r="A49" s="17">
        <v>44600</v>
      </c>
      <c r="B49" s="18"/>
      <c r="C49" s="19" t="s">
        <v>33</v>
      </c>
      <c r="D49" s="30" t="s">
        <v>34</v>
      </c>
      <c r="E49" s="18" t="s">
        <v>14</v>
      </c>
      <c r="F49" s="31">
        <v>40</v>
      </c>
      <c r="G49" s="31"/>
      <c r="H49" s="37">
        <f t="shared" ca="1" si="1"/>
        <v>1902.0800000000004</v>
      </c>
    </row>
    <row r="50" spans="1:8" x14ac:dyDescent="0.2">
      <c r="A50" s="17">
        <v>44603</v>
      </c>
      <c r="B50" s="18"/>
      <c r="C50" s="19" t="s">
        <v>59</v>
      </c>
      <c r="D50" s="30" t="s">
        <v>60</v>
      </c>
      <c r="E50" s="18" t="s">
        <v>14</v>
      </c>
      <c r="F50" s="31">
        <v>119</v>
      </c>
      <c r="G50" s="31"/>
      <c r="H50" s="37">
        <f t="shared" ca="1" si="1"/>
        <v>1783.0800000000004</v>
      </c>
    </row>
    <row r="51" spans="1:8" x14ac:dyDescent="0.2">
      <c r="A51" s="17">
        <v>44603</v>
      </c>
      <c r="B51" s="18"/>
      <c r="C51" s="19" t="s">
        <v>242</v>
      </c>
      <c r="D51" s="30" t="s">
        <v>39</v>
      </c>
      <c r="E51" s="18" t="s">
        <v>14</v>
      </c>
      <c r="F51" s="31">
        <v>83</v>
      </c>
      <c r="G51" s="31"/>
      <c r="H51" s="37">
        <f t="shared" ca="1" si="1"/>
        <v>1700.0800000000004</v>
      </c>
    </row>
    <row r="52" spans="1:8" x14ac:dyDescent="0.2">
      <c r="A52" s="17">
        <v>44603</v>
      </c>
      <c r="B52" s="18"/>
      <c r="C52" s="19" t="s">
        <v>31</v>
      </c>
      <c r="D52" s="30" t="s">
        <v>47</v>
      </c>
      <c r="E52" s="18" t="s">
        <v>14</v>
      </c>
      <c r="F52" s="31">
        <v>6.39</v>
      </c>
      <c r="G52" s="31"/>
      <c r="H52" s="37">
        <f t="shared" ca="1" si="1"/>
        <v>1693.6900000000003</v>
      </c>
    </row>
    <row r="53" spans="1:8" x14ac:dyDescent="0.2">
      <c r="A53" s="17">
        <v>44603</v>
      </c>
      <c r="B53" s="18"/>
      <c r="C53" s="19" t="s">
        <v>31</v>
      </c>
      <c r="D53" s="30" t="s">
        <v>64</v>
      </c>
      <c r="E53" s="18" t="s">
        <v>14</v>
      </c>
      <c r="F53" s="31">
        <v>545.78</v>
      </c>
      <c r="G53" s="31"/>
      <c r="H53" s="37">
        <f t="shared" ca="1" si="1"/>
        <v>1147.9100000000003</v>
      </c>
    </row>
    <row r="54" spans="1:8" x14ac:dyDescent="0.2">
      <c r="A54" s="17">
        <v>44603</v>
      </c>
      <c r="B54" s="18"/>
      <c r="C54" s="19" t="s">
        <v>46</v>
      </c>
      <c r="D54" s="30"/>
      <c r="E54" s="18" t="s">
        <v>14</v>
      </c>
      <c r="F54" s="31">
        <v>389.67</v>
      </c>
      <c r="G54" s="31"/>
      <c r="H54" s="37">
        <f t="shared" ca="1" si="1"/>
        <v>758.24000000000024</v>
      </c>
    </row>
    <row r="55" spans="1:8" x14ac:dyDescent="0.2">
      <c r="A55" s="17">
        <v>44603</v>
      </c>
      <c r="B55" s="18"/>
      <c r="C55" s="19" t="s">
        <v>33</v>
      </c>
      <c r="D55" s="30" t="s">
        <v>50</v>
      </c>
      <c r="E55" s="18" t="s">
        <v>14</v>
      </c>
      <c r="F55" s="31">
        <v>1497.71</v>
      </c>
      <c r="G55" s="31"/>
      <c r="H55" s="37">
        <f t="shared" ca="1" si="1"/>
        <v>-739.4699999999998</v>
      </c>
    </row>
    <row r="56" spans="1:8" x14ac:dyDescent="0.2">
      <c r="A56" s="17">
        <v>44603</v>
      </c>
      <c r="B56" s="18"/>
      <c r="C56" s="19" t="s">
        <v>33</v>
      </c>
      <c r="D56" s="30" t="s">
        <v>52</v>
      </c>
      <c r="E56" s="18" t="s">
        <v>14</v>
      </c>
      <c r="F56" s="31"/>
      <c r="G56" s="31">
        <v>760</v>
      </c>
      <c r="H56" s="37">
        <f t="shared" ca="1" si="1"/>
        <v>20.5300000000002</v>
      </c>
    </row>
    <row r="57" spans="1:8" x14ac:dyDescent="0.2">
      <c r="A57" s="17">
        <v>44609</v>
      </c>
      <c r="B57" s="18"/>
      <c r="C57" s="19" t="s">
        <v>66</v>
      </c>
      <c r="D57" s="30" t="s">
        <v>249</v>
      </c>
      <c r="E57" s="18" t="s">
        <v>14</v>
      </c>
      <c r="F57" s="31">
        <v>140</v>
      </c>
      <c r="G57" s="31"/>
      <c r="H57" s="37">
        <f t="shared" ca="1" si="1"/>
        <v>-119.4699999999998</v>
      </c>
    </row>
    <row r="58" spans="1:8" x14ac:dyDescent="0.2">
      <c r="A58" s="17">
        <v>44606</v>
      </c>
      <c r="B58" s="18"/>
      <c r="C58" s="19" t="s">
        <v>244</v>
      </c>
      <c r="D58" s="30" t="s">
        <v>47</v>
      </c>
      <c r="E58" s="18" t="s">
        <v>14</v>
      </c>
      <c r="F58" s="31">
        <v>100</v>
      </c>
      <c r="G58" s="31"/>
      <c r="H58" s="37">
        <f t="shared" ca="1" si="1"/>
        <v>-219.4699999999998</v>
      </c>
    </row>
    <row r="59" spans="1:8" x14ac:dyDescent="0.2">
      <c r="A59" s="17">
        <v>44614</v>
      </c>
      <c r="B59" s="18"/>
      <c r="C59" s="19" t="s">
        <v>250</v>
      </c>
      <c r="D59" s="30" t="s">
        <v>57</v>
      </c>
      <c r="E59" s="18" t="s">
        <v>14</v>
      </c>
      <c r="F59" s="31">
        <v>251</v>
      </c>
      <c r="G59" s="31"/>
      <c r="H59" s="37">
        <f t="shared" ca="1" si="1"/>
        <v>-470.4699999999998</v>
      </c>
    </row>
    <row r="60" spans="1:8" x14ac:dyDescent="0.2">
      <c r="A60" s="17">
        <v>44617</v>
      </c>
      <c r="B60" s="18"/>
      <c r="C60" s="19" t="s">
        <v>33</v>
      </c>
      <c r="D60" s="30" t="s">
        <v>40</v>
      </c>
      <c r="E60" s="18" t="s">
        <v>14</v>
      </c>
      <c r="F60" s="31"/>
      <c r="G60" s="31">
        <v>2796.83</v>
      </c>
      <c r="H60" s="37">
        <f t="shared" ca="1" si="1"/>
        <v>2326.36</v>
      </c>
    </row>
    <row r="61" spans="1:8" x14ac:dyDescent="0.2">
      <c r="A61" s="17">
        <v>44617</v>
      </c>
      <c r="B61" s="18"/>
      <c r="C61" s="19" t="s">
        <v>29</v>
      </c>
      <c r="D61" s="30" t="s">
        <v>45</v>
      </c>
      <c r="E61" s="18" t="s">
        <v>14</v>
      </c>
      <c r="F61" s="31">
        <v>153.63999999999999</v>
      </c>
      <c r="G61" s="31"/>
      <c r="H61" s="37">
        <f t="shared" ca="1" si="1"/>
        <v>2172.7200000000003</v>
      </c>
    </row>
    <row r="62" spans="1:8" x14ac:dyDescent="0.2">
      <c r="A62" s="17">
        <v>44617</v>
      </c>
      <c r="B62" s="18"/>
      <c r="C62" s="19" t="s">
        <v>28</v>
      </c>
      <c r="D62" s="30" t="s">
        <v>55</v>
      </c>
      <c r="E62" s="18" t="s">
        <v>14</v>
      </c>
      <c r="F62" s="31">
        <v>1175.48</v>
      </c>
      <c r="G62" s="31"/>
      <c r="H62" s="37">
        <f t="shared" ca="1" si="1"/>
        <v>997.24000000000024</v>
      </c>
    </row>
    <row r="63" spans="1:8" x14ac:dyDescent="0.2">
      <c r="A63" s="17">
        <v>44617</v>
      </c>
      <c r="B63" s="18"/>
      <c r="C63" s="19" t="s">
        <v>36</v>
      </c>
      <c r="D63" s="30" t="s">
        <v>62</v>
      </c>
      <c r="E63" s="18" t="s">
        <v>14</v>
      </c>
      <c r="F63" s="31">
        <v>510</v>
      </c>
      <c r="G63" s="31"/>
      <c r="H63" s="37">
        <f t="shared" ca="1" si="1"/>
        <v>487.24000000000024</v>
      </c>
    </row>
    <row r="64" spans="1:8" x14ac:dyDescent="0.2">
      <c r="A64" s="17">
        <v>44617</v>
      </c>
      <c r="B64" s="18"/>
      <c r="C64" s="19" t="s">
        <v>58</v>
      </c>
      <c r="D64" s="30" t="s">
        <v>30</v>
      </c>
      <c r="E64" s="18" t="s">
        <v>14</v>
      </c>
      <c r="F64" s="31">
        <v>64.569999999999993</v>
      </c>
      <c r="G64" s="31"/>
      <c r="H64" s="37">
        <f t="shared" ca="1" si="1"/>
        <v>422.67000000000024</v>
      </c>
    </row>
    <row r="65" spans="1:8" x14ac:dyDescent="0.2">
      <c r="A65" s="17">
        <v>44627</v>
      </c>
      <c r="B65" s="18"/>
      <c r="C65" s="19" t="s">
        <v>33</v>
      </c>
      <c r="D65" s="30" t="s">
        <v>56</v>
      </c>
      <c r="E65" s="18" t="s">
        <v>14</v>
      </c>
      <c r="F65" s="31">
        <v>2212.44</v>
      </c>
      <c r="G65" s="31"/>
      <c r="H65" s="37">
        <f t="shared" ca="1" si="1"/>
        <v>-1789.7699999999998</v>
      </c>
    </row>
    <row r="66" spans="1:8" x14ac:dyDescent="0.2">
      <c r="A66" s="17">
        <v>44627</v>
      </c>
      <c r="B66" s="18"/>
      <c r="C66" s="19" t="s">
        <v>33</v>
      </c>
      <c r="D66" s="30" t="s">
        <v>52</v>
      </c>
      <c r="E66" s="18" t="s">
        <v>14</v>
      </c>
      <c r="F66" s="31"/>
      <c r="G66" s="31">
        <v>1700</v>
      </c>
      <c r="H66" s="37">
        <f t="shared" ca="1" si="1"/>
        <v>-89.769999999999754</v>
      </c>
    </row>
    <row r="67" spans="1:8" x14ac:dyDescent="0.2">
      <c r="A67" s="17">
        <v>44630</v>
      </c>
      <c r="B67" s="18">
        <v>1385</v>
      </c>
      <c r="C67" s="19" t="s">
        <v>251</v>
      </c>
      <c r="D67" s="30" t="s">
        <v>252</v>
      </c>
      <c r="E67" s="18" t="s">
        <v>14</v>
      </c>
      <c r="F67" s="31">
        <v>1733.39</v>
      </c>
      <c r="G67" s="31"/>
      <c r="H67" s="37">
        <f t="shared" ref="H67:H1241" ca="1" si="2">IF(AND(ISBLANK(F67),ISBLANK(G67)),"",OFFSET(H67,-1,0,1,1)+G67-F67)</f>
        <v>-1823.1599999999999</v>
      </c>
    </row>
    <row r="68" spans="1:8" x14ac:dyDescent="0.2">
      <c r="A68" s="17">
        <v>44631</v>
      </c>
      <c r="B68" s="18"/>
      <c r="C68" s="19" t="s">
        <v>33</v>
      </c>
      <c r="D68" s="30" t="s">
        <v>40</v>
      </c>
      <c r="E68" s="18" t="s">
        <v>14</v>
      </c>
      <c r="F68" s="31"/>
      <c r="G68" s="31">
        <v>2798.85</v>
      </c>
      <c r="H68" s="37">
        <f t="shared" ca="1" si="2"/>
        <v>975.69</v>
      </c>
    </row>
    <row r="69" spans="1:8" x14ac:dyDescent="0.2">
      <c r="A69" s="17">
        <v>44631</v>
      </c>
      <c r="B69" s="18"/>
      <c r="C69" s="19" t="s">
        <v>59</v>
      </c>
      <c r="D69" s="30" t="s">
        <v>60</v>
      </c>
      <c r="E69" s="18" t="s">
        <v>14</v>
      </c>
      <c r="F69" s="31">
        <v>119</v>
      </c>
      <c r="G69" s="31"/>
      <c r="H69" s="37">
        <f t="shared" ca="1" si="2"/>
        <v>856.69</v>
      </c>
    </row>
    <row r="70" spans="1:8" x14ac:dyDescent="0.2">
      <c r="A70" s="17">
        <v>44631</v>
      </c>
      <c r="B70" s="18"/>
      <c r="C70" s="19" t="s">
        <v>18</v>
      </c>
      <c r="D70" s="30"/>
      <c r="E70" s="18" t="s">
        <v>14</v>
      </c>
      <c r="F70" s="31">
        <v>99</v>
      </c>
      <c r="G70" s="31"/>
      <c r="H70" s="37">
        <f t="shared" ca="1" si="2"/>
        <v>757.69</v>
      </c>
    </row>
    <row r="71" spans="1:8" x14ac:dyDescent="0.2">
      <c r="A71" s="17">
        <v>44631</v>
      </c>
      <c r="B71" s="18"/>
      <c r="C71" s="19" t="s">
        <v>31</v>
      </c>
      <c r="D71" s="30" t="s">
        <v>47</v>
      </c>
      <c r="E71" s="18" t="s">
        <v>14</v>
      </c>
      <c r="F71" s="31">
        <v>3.18</v>
      </c>
      <c r="G71" s="31"/>
      <c r="H71" s="37">
        <f t="shared" ca="1" si="2"/>
        <v>754.5100000000001</v>
      </c>
    </row>
    <row r="72" spans="1:8" x14ac:dyDescent="0.2">
      <c r="A72" s="17">
        <v>44631</v>
      </c>
      <c r="B72" s="18"/>
      <c r="C72" s="19" t="s">
        <v>31</v>
      </c>
      <c r="D72" s="30" t="s">
        <v>64</v>
      </c>
      <c r="E72" s="18" t="s">
        <v>14</v>
      </c>
      <c r="F72" s="31">
        <v>545.78</v>
      </c>
      <c r="G72" s="31"/>
      <c r="H72" s="37">
        <f t="shared" ca="1" si="2"/>
        <v>208.73000000000013</v>
      </c>
    </row>
    <row r="73" spans="1:8" x14ac:dyDescent="0.2">
      <c r="A73" s="17">
        <v>44631</v>
      </c>
      <c r="B73" s="18"/>
      <c r="C73" s="19" t="s">
        <v>46</v>
      </c>
      <c r="D73" s="30" t="s">
        <v>47</v>
      </c>
      <c r="E73" s="18" t="s">
        <v>14</v>
      </c>
      <c r="F73" s="31">
        <v>45.57</v>
      </c>
      <c r="G73" s="31"/>
      <c r="H73" s="37">
        <f t="shared" ca="1" si="2"/>
        <v>163.16000000000014</v>
      </c>
    </row>
    <row r="74" spans="1:8" x14ac:dyDescent="0.2">
      <c r="A74" s="17">
        <v>44631</v>
      </c>
      <c r="B74" s="18"/>
      <c r="C74" s="19" t="s">
        <v>244</v>
      </c>
      <c r="D74" s="30" t="s">
        <v>47</v>
      </c>
      <c r="E74" s="18" t="s">
        <v>14</v>
      </c>
      <c r="F74" s="31">
        <v>29</v>
      </c>
      <c r="G74" s="31"/>
      <c r="H74" s="37">
        <f t="shared" ca="1" si="2"/>
        <v>134.16000000000014</v>
      </c>
    </row>
    <row r="75" spans="1:8" x14ac:dyDescent="0.2">
      <c r="A75" s="17">
        <v>44631</v>
      </c>
      <c r="B75" s="18"/>
      <c r="C75" s="19" t="s">
        <v>63</v>
      </c>
      <c r="D75" s="30" t="s">
        <v>47</v>
      </c>
      <c r="E75" s="18" t="s">
        <v>14</v>
      </c>
      <c r="F75" s="31">
        <v>138.26</v>
      </c>
      <c r="G75" s="31"/>
      <c r="H75" s="37">
        <f t="shared" ca="1" si="2"/>
        <v>-4.0999999999998522</v>
      </c>
    </row>
    <row r="76" spans="1:8" x14ac:dyDescent="0.2">
      <c r="A76" s="17">
        <v>44631</v>
      </c>
      <c r="B76" s="18"/>
      <c r="C76" s="19" t="s">
        <v>33</v>
      </c>
      <c r="D76" s="30" t="s">
        <v>253</v>
      </c>
      <c r="E76" s="18" t="s">
        <v>14</v>
      </c>
      <c r="F76" s="31">
        <v>2819.84</v>
      </c>
      <c r="G76" s="31"/>
      <c r="H76" s="37">
        <f t="shared" ca="1" si="2"/>
        <v>-2823.94</v>
      </c>
    </row>
    <row r="77" spans="1:8" x14ac:dyDescent="0.2">
      <c r="A77" s="17">
        <v>44631</v>
      </c>
      <c r="B77" s="18"/>
      <c r="C77" s="19" t="s">
        <v>52</v>
      </c>
      <c r="D77" s="30" t="s">
        <v>33</v>
      </c>
      <c r="E77" s="18" t="s">
        <v>14</v>
      </c>
      <c r="F77" s="31"/>
      <c r="G77" s="31">
        <v>2850</v>
      </c>
      <c r="H77" s="37">
        <f t="shared" ca="1" si="2"/>
        <v>26.059999999999945</v>
      </c>
    </row>
    <row r="78" spans="1:8" x14ac:dyDescent="0.2">
      <c r="A78" s="17">
        <v>44637</v>
      </c>
      <c r="B78" s="18"/>
      <c r="C78" s="19" t="s">
        <v>250</v>
      </c>
      <c r="D78" s="30" t="s">
        <v>43</v>
      </c>
      <c r="E78" s="18" t="s">
        <v>14</v>
      </c>
      <c r="F78" s="31">
        <v>124</v>
      </c>
      <c r="G78" s="31"/>
      <c r="H78" s="37">
        <f t="shared" ca="1" si="2"/>
        <v>-97.940000000000055</v>
      </c>
    </row>
    <row r="79" spans="1:8" x14ac:dyDescent="0.2">
      <c r="A79" s="17">
        <v>44620</v>
      </c>
      <c r="B79" s="18"/>
      <c r="C79" s="19" t="s">
        <v>66</v>
      </c>
      <c r="D79" s="30" t="s">
        <v>254</v>
      </c>
      <c r="E79" s="18" t="s">
        <v>14</v>
      </c>
      <c r="F79" s="31">
        <v>60</v>
      </c>
      <c r="G79" s="31"/>
      <c r="H79" s="37">
        <f t="shared" ca="1" si="2"/>
        <v>-157.94000000000005</v>
      </c>
    </row>
    <row r="80" spans="1:8" x14ac:dyDescent="0.2">
      <c r="A80" s="17">
        <v>44644</v>
      </c>
      <c r="B80" s="18">
        <v>1387</v>
      </c>
      <c r="C80" s="19" t="s">
        <v>51</v>
      </c>
      <c r="D80" s="30" t="s">
        <v>54</v>
      </c>
      <c r="E80" s="18" t="s">
        <v>14</v>
      </c>
      <c r="F80" s="31">
        <v>25</v>
      </c>
      <c r="G80" s="31"/>
      <c r="H80" s="37">
        <f t="shared" ca="1" si="2"/>
        <v>-182.94000000000005</v>
      </c>
    </row>
    <row r="81" spans="1:8" x14ac:dyDescent="0.2">
      <c r="A81" s="17">
        <v>44644</v>
      </c>
      <c r="B81" s="18">
        <v>1386</v>
      </c>
      <c r="C81" s="19" t="s">
        <v>51</v>
      </c>
      <c r="D81" s="30" t="s">
        <v>53</v>
      </c>
      <c r="E81" s="18" t="s">
        <v>14</v>
      </c>
      <c r="F81" s="31">
        <v>25</v>
      </c>
      <c r="G81" s="31"/>
      <c r="H81" s="37">
        <f t="shared" ca="1" si="2"/>
        <v>-207.94000000000005</v>
      </c>
    </row>
    <row r="82" spans="1:8" x14ac:dyDescent="0.2">
      <c r="A82" s="17">
        <v>44645</v>
      </c>
      <c r="B82" s="18"/>
      <c r="C82" s="19" t="s">
        <v>33</v>
      </c>
      <c r="D82" s="30" t="s">
        <v>40</v>
      </c>
      <c r="E82" s="18" t="s">
        <v>14</v>
      </c>
      <c r="F82" s="31"/>
      <c r="G82" s="31">
        <v>2796.85</v>
      </c>
      <c r="H82" s="37">
        <f t="shared" ca="1" si="2"/>
        <v>2588.91</v>
      </c>
    </row>
    <row r="83" spans="1:8" x14ac:dyDescent="0.2">
      <c r="A83" s="17">
        <v>44645</v>
      </c>
      <c r="B83" s="18"/>
      <c r="C83" s="19" t="s">
        <v>33</v>
      </c>
      <c r="D83" s="30" t="s">
        <v>40</v>
      </c>
      <c r="E83" s="18" t="s">
        <v>14</v>
      </c>
      <c r="F83" s="31"/>
      <c r="G83" s="31">
        <v>12719.13</v>
      </c>
      <c r="H83" s="37">
        <f t="shared" ca="1" si="2"/>
        <v>15308.039999999999</v>
      </c>
    </row>
    <row r="84" spans="1:8" x14ac:dyDescent="0.2">
      <c r="A84" s="17">
        <v>44645</v>
      </c>
      <c r="B84" s="18"/>
      <c r="C84" s="19" t="s">
        <v>36</v>
      </c>
      <c r="D84" s="30" t="s">
        <v>62</v>
      </c>
      <c r="E84" s="18" t="s">
        <v>14</v>
      </c>
      <c r="F84" s="31">
        <v>510</v>
      </c>
      <c r="G84" s="31"/>
      <c r="H84" s="37">
        <f t="shared" ca="1" si="2"/>
        <v>14798.039999999999</v>
      </c>
    </row>
    <row r="85" spans="1:8" x14ac:dyDescent="0.2">
      <c r="A85" s="17">
        <v>44645</v>
      </c>
      <c r="B85" s="18"/>
      <c r="C85" s="19" t="s">
        <v>58</v>
      </c>
      <c r="D85" s="30" t="s">
        <v>30</v>
      </c>
      <c r="E85" s="18" t="s">
        <v>14</v>
      </c>
      <c r="F85" s="31">
        <v>65.239999999999995</v>
      </c>
      <c r="G85" s="31"/>
      <c r="H85" s="37">
        <f t="shared" ca="1" si="2"/>
        <v>14732.8</v>
      </c>
    </row>
    <row r="86" spans="1:8" x14ac:dyDescent="0.2">
      <c r="A86" s="17">
        <v>44645</v>
      </c>
      <c r="B86" s="18"/>
      <c r="C86" s="19" t="s">
        <v>42</v>
      </c>
      <c r="D86" s="30"/>
      <c r="E86" s="18" t="s">
        <v>14</v>
      </c>
      <c r="F86" s="31">
        <v>12000</v>
      </c>
      <c r="G86" s="31"/>
      <c r="H86" s="37">
        <f t="shared" ca="1" si="2"/>
        <v>2732.7999999999993</v>
      </c>
    </row>
    <row r="87" spans="1:8" x14ac:dyDescent="0.2">
      <c r="A87" s="17">
        <v>44645</v>
      </c>
      <c r="B87" s="18"/>
      <c r="C87" s="19" t="s">
        <v>49</v>
      </c>
      <c r="D87" s="30"/>
      <c r="E87" s="18" t="s">
        <v>14</v>
      </c>
      <c r="F87" s="31">
        <v>1000</v>
      </c>
      <c r="G87" s="31"/>
      <c r="H87" s="37">
        <f t="shared" ca="1" si="2"/>
        <v>1732.7999999999993</v>
      </c>
    </row>
    <row r="88" spans="1:8" x14ac:dyDescent="0.2">
      <c r="A88" s="17">
        <v>44651</v>
      </c>
      <c r="B88" s="18"/>
      <c r="C88" s="19" t="s">
        <v>29</v>
      </c>
      <c r="D88" s="30" t="s">
        <v>45</v>
      </c>
      <c r="E88" s="18" t="s">
        <v>14</v>
      </c>
      <c r="F88" s="31">
        <v>153.63999999999999</v>
      </c>
      <c r="G88" s="31"/>
      <c r="H88" s="37">
        <f t="shared" ca="1" si="2"/>
        <v>1579.1599999999994</v>
      </c>
    </row>
    <row r="89" spans="1:8" x14ac:dyDescent="0.2">
      <c r="A89" s="17">
        <v>44651</v>
      </c>
      <c r="B89" s="18"/>
      <c r="C89" s="19" t="s">
        <v>250</v>
      </c>
      <c r="D89" s="30"/>
      <c r="E89" s="18" t="s">
        <v>14</v>
      </c>
      <c r="F89" s="31">
        <v>200</v>
      </c>
      <c r="G89" s="31"/>
      <c r="H89" s="37">
        <f t="shared" ca="1" si="2"/>
        <v>1379.1599999999994</v>
      </c>
    </row>
    <row r="90" spans="1:8" x14ac:dyDescent="0.2">
      <c r="A90" s="17">
        <v>44652</v>
      </c>
      <c r="B90" s="18"/>
      <c r="C90" s="19" t="s">
        <v>28</v>
      </c>
      <c r="D90" s="30" t="s">
        <v>55</v>
      </c>
      <c r="E90" s="18" t="s">
        <v>14</v>
      </c>
      <c r="F90" s="31">
        <v>1175.48</v>
      </c>
      <c r="G90" s="31"/>
      <c r="H90" s="37">
        <f t="shared" ca="1" si="2"/>
        <v>203.67999999999938</v>
      </c>
    </row>
    <row r="91" spans="1:8" x14ac:dyDescent="0.2">
      <c r="A91" s="17">
        <v>44653</v>
      </c>
      <c r="B91" s="18"/>
      <c r="C91" s="19" t="s">
        <v>22</v>
      </c>
      <c r="D91" s="30"/>
      <c r="E91" s="18" t="s">
        <v>14</v>
      </c>
      <c r="F91" s="31">
        <v>60.5</v>
      </c>
      <c r="G91" s="31"/>
      <c r="H91" s="37">
        <f t="shared" ca="1" si="2"/>
        <v>143.17999999999938</v>
      </c>
    </row>
    <row r="92" spans="1:8" x14ac:dyDescent="0.2">
      <c r="A92" s="17">
        <v>44655</v>
      </c>
      <c r="B92" s="18"/>
      <c r="C92" s="19" t="s">
        <v>33</v>
      </c>
      <c r="D92" s="30" t="s">
        <v>34</v>
      </c>
      <c r="E92" s="18" t="s">
        <v>14</v>
      </c>
      <c r="F92" s="31">
        <v>30</v>
      </c>
      <c r="G92" s="31"/>
      <c r="H92" s="37">
        <f t="shared" ca="1" si="2"/>
        <v>113.17999999999938</v>
      </c>
    </row>
    <row r="93" spans="1:8" x14ac:dyDescent="0.2">
      <c r="A93" s="17">
        <v>44657</v>
      </c>
      <c r="B93" s="18">
        <v>1388</v>
      </c>
      <c r="C93" s="19" t="s">
        <v>48</v>
      </c>
      <c r="D93" s="30" t="s">
        <v>255</v>
      </c>
      <c r="E93" s="18" t="s">
        <v>14</v>
      </c>
      <c r="F93" s="31">
        <v>120</v>
      </c>
      <c r="G93" s="31"/>
      <c r="H93" s="37">
        <f t="shared" ca="1" si="2"/>
        <v>-6.8200000000006185</v>
      </c>
    </row>
    <row r="94" spans="1:8" x14ac:dyDescent="0.2">
      <c r="A94" s="17">
        <v>44659</v>
      </c>
      <c r="B94" s="18"/>
      <c r="C94" s="19" t="s">
        <v>33</v>
      </c>
      <c r="D94" s="30" t="s">
        <v>40</v>
      </c>
      <c r="E94" s="18" t="s">
        <v>14</v>
      </c>
      <c r="F94" s="31"/>
      <c r="G94" s="31">
        <v>3107.46</v>
      </c>
      <c r="H94" s="37">
        <f t="shared" ca="1" si="2"/>
        <v>3100.6399999999994</v>
      </c>
    </row>
    <row r="95" spans="1:8" x14ac:dyDescent="0.2">
      <c r="A95" s="17">
        <v>44659</v>
      </c>
      <c r="B95" s="18"/>
      <c r="C95" s="19" t="s">
        <v>33</v>
      </c>
      <c r="D95" s="30" t="s">
        <v>61</v>
      </c>
      <c r="E95" s="18" t="s">
        <v>14</v>
      </c>
      <c r="F95" s="31"/>
      <c r="G95" s="31">
        <v>233</v>
      </c>
      <c r="H95" s="37">
        <f t="shared" ca="1" si="2"/>
        <v>3333.6399999999994</v>
      </c>
    </row>
    <row r="96" spans="1:8" x14ac:dyDescent="0.2">
      <c r="A96" s="17">
        <v>44659</v>
      </c>
      <c r="B96" s="18"/>
      <c r="C96" s="19" t="s">
        <v>33</v>
      </c>
      <c r="D96" s="30" t="s">
        <v>256</v>
      </c>
      <c r="E96" s="18" t="s">
        <v>14</v>
      </c>
      <c r="F96" s="31"/>
      <c r="G96" s="31">
        <v>3000</v>
      </c>
      <c r="H96" s="37">
        <f t="shared" ca="1" si="2"/>
        <v>6333.6399999999994</v>
      </c>
    </row>
    <row r="97" spans="1:8" x14ac:dyDescent="0.2">
      <c r="A97" s="17">
        <v>44659</v>
      </c>
      <c r="B97" s="18"/>
      <c r="C97" s="19" t="s">
        <v>33</v>
      </c>
      <c r="D97" s="30" t="s">
        <v>44</v>
      </c>
      <c r="E97" s="18" t="s">
        <v>14</v>
      </c>
      <c r="F97" s="31">
        <v>2757.7</v>
      </c>
      <c r="G97" s="31"/>
      <c r="H97" s="37">
        <f t="shared" ca="1" si="2"/>
        <v>3575.9399999999996</v>
      </c>
    </row>
    <row r="98" spans="1:8" x14ac:dyDescent="0.2">
      <c r="A98" s="17">
        <v>44659</v>
      </c>
      <c r="B98" s="18"/>
      <c r="C98" s="19" t="s">
        <v>59</v>
      </c>
      <c r="D98" s="30" t="s">
        <v>60</v>
      </c>
      <c r="E98" s="18" t="s">
        <v>14</v>
      </c>
      <c r="F98" s="31">
        <v>250</v>
      </c>
      <c r="G98" s="31"/>
      <c r="H98" s="37">
        <f t="shared" ca="1" si="2"/>
        <v>3325.9399999999996</v>
      </c>
    </row>
    <row r="99" spans="1:8" x14ac:dyDescent="0.2">
      <c r="A99" s="17">
        <v>44659</v>
      </c>
      <c r="B99" s="18"/>
      <c r="C99" s="19" t="s">
        <v>242</v>
      </c>
      <c r="D99" s="30" t="s">
        <v>39</v>
      </c>
      <c r="E99" s="18" t="s">
        <v>14</v>
      </c>
      <c r="F99" s="31">
        <v>99</v>
      </c>
      <c r="G99" s="31"/>
      <c r="H99" s="37">
        <f t="shared" ca="1" si="2"/>
        <v>3226.9399999999996</v>
      </c>
    </row>
    <row r="100" spans="1:8" x14ac:dyDescent="0.2">
      <c r="A100" s="17">
        <v>44659</v>
      </c>
      <c r="B100" s="18"/>
      <c r="C100" s="19" t="s">
        <v>31</v>
      </c>
      <c r="D100" s="30" t="s">
        <v>257</v>
      </c>
      <c r="E100" s="18" t="s">
        <v>14</v>
      </c>
      <c r="F100" s="31">
        <v>5.33</v>
      </c>
      <c r="G100" s="31"/>
      <c r="H100" s="37">
        <f t="shared" ca="1" si="2"/>
        <v>3221.6099999999997</v>
      </c>
    </row>
    <row r="101" spans="1:8" x14ac:dyDescent="0.2">
      <c r="A101" s="17">
        <v>44659</v>
      </c>
      <c r="B101" s="18"/>
      <c r="C101" s="19" t="s">
        <v>31</v>
      </c>
      <c r="D101" s="30" t="s">
        <v>64</v>
      </c>
      <c r="E101" s="18" t="s">
        <v>14</v>
      </c>
      <c r="F101" s="31">
        <v>545.78</v>
      </c>
      <c r="G101" s="31"/>
      <c r="H101" s="37">
        <f t="shared" ca="1" si="2"/>
        <v>2675.83</v>
      </c>
    </row>
    <row r="102" spans="1:8" x14ac:dyDescent="0.2">
      <c r="A102" s="17">
        <v>44660</v>
      </c>
      <c r="B102" s="18"/>
      <c r="C102" s="19" t="s">
        <v>46</v>
      </c>
      <c r="D102" s="30" t="s">
        <v>47</v>
      </c>
      <c r="E102" s="18" t="s">
        <v>14</v>
      </c>
      <c r="F102" s="31">
        <v>234.35</v>
      </c>
      <c r="G102" s="31"/>
      <c r="H102" s="37">
        <f t="shared" ca="1" si="2"/>
        <v>2441.48</v>
      </c>
    </row>
    <row r="103" spans="1:8" x14ac:dyDescent="0.2">
      <c r="A103" s="17">
        <v>44660</v>
      </c>
      <c r="B103" s="18"/>
      <c r="C103" s="19" t="s">
        <v>244</v>
      </c>
      <c r="D103" s="30" t="s">
        <v>47</v>
      </c>
      <c r="E103" s="18" t="s">
        <v>14</v>
      </c>
      <c r="F103" s="31">
        <v>1405.98</v>
      </c>
      <c r="G103" s="31"/>
      <c r="H103" s="37">
        <f t="shared" ca="1" si="2"/>
        <v>1035.5</v>
      </c>
    </row>
    <row r="104" spans="1:8" x14ac:dyDescent="0.2">
      <c r="A104" s="17">
        <v>44661</v>
      </c>
      <c r="B104" s="18"/>
      <c r="C104" s="19" t="s">
        <v>31</v>
      </c>
      <c r="D104" s="30" t="s">
        <v>47</v>
      </c>
      <c r="E104" s="18" t="s">
        <v>14</v>
      </c>
      <c r="F104" s="31">
        <v>5.3</v>
      </c>
      <c r="G104" s="31"/>
      <c r="H104" s="37">
        <f t="shared" ca="1" si="2"/>
        <v>1030.2</v>
      </c>
    </row>
    <row r="105" spans="1:8" x14ac:dyDescent="0.2">
      <c r="A105" s="17">
        <v>44663</v>
      </c>
      <c r="B105" s="18"/>
      <c r="C105" s="19" t="s">
        <v>33</v>
      </c>
      <c r="D105" s="30" t="s">
        <v>50</v>
      </c>
      <c r="E105" s="18" t="s">
        <v>14</v>
      </c>
      <c r="F105" s="31">
        <v>4769.43</v>
      </c>
      <c r="G105" s="31"/>
      <c r="H105" s="37">
        <f t="shared" ca="1" si="2"/>
        <v>-3739.2300000000005</v>
      </c>
    </row>
    <row r="106" spans="1:8" x14ac:dyDescent="0.2">
      <c r="A106" s="17">
        <v>44663</v>
      </c>
      <c r="B106" s="18"/>
      <c r="C106" s="19" t="s">
        <v>33</v>
      </c>
      <c r="D106" s="30" t="s">
        <v>52</v>
      </c>
      <c r="E106" s="18" t="s">
        <v>14</v>
      </c>
      <c r="F106" s="31"/>
      <c r="G106" s="31">
        <v>3940</v>
      </c>
      <c r="H106" s="37">
        <f t="shared" ca="1" si="2"/>
        <v>200.76999999999953</v>
      </c>
    </row>
    <row r="107" spans="1:8" x14ac:dyDescent="0.2">
      <c r="A107" s="17">
        <v>44663</v>
      </c>
      <c r="B107" s="18"/>
      <c r="C107" s="19" t="s">
        <v>33</v>
      </c>
      <c r="D107" s="30" t="s">
        <v>34</v>
      </c>
      <c r="E107" s="18" t="s">
        <v>14</v>
      </c>
      <c r="F107" s="31">
        <v>22.75</v>
      </c>
      <c r="G107" s="31"/>
      <c r="H107" s="37">
        <f t="shared" ca="1" si="2"/>
        <v>178.01999999999953</v>
      </c>
    </row>
    <row r="108" spans="1:8" x14ac:dyDescent="0.2">
      <c r="A108" s="17">
        <v>44663</v>
      </c>
      <c r="B108" s="18"/>
      <c r="C108" s="19" t="s">
        <v>33</v>
      </c>
      <c r="D108" s="30" t="s">
        <v>61</v>
      </c>
      <c r="E108" s="18" t="s">
        <v>14</v>
      </c>
      <c r="F108" s="31"/>
      <c r="G108" s="31">
        <v>687</v>
      </c>
      <c r="H108" s="37">
        <f t="shared" ca="1" si="2"/>
        <v>865.01999999999953</v>
      </c>
    </row>
    <row r="109" spans="1:8" x14ac:dyDescent="0.2">
      <c r="A109" s="17">
        <v>44665</v>
      </c>
      <c r="B109" s="18"/>
      <c r="C109" s="19" t="s">
        <v>258</v>
      </c>
      <c r="D109" s="30"/>
      <c r="E109" s="18" t="s">
        <v>14</v>
      </c>
      <c r="F109" s="31">
        <v>158</v>
      </c>
      <c r="G109" s="31"/>
      <c r="H109" s="37">
        <f t="shared" ca="1" si="2"/>
        <v>707.01999999999953</v>
      </c>
    </row>
    <row r="110" spans="1:8" x14ac:dyDescent="0.2">
      <c r="A110" s="17">
        <v>44670</v>
      </c>
      <c r="B110" s="18"/>
      <c r="C110" s="19" t="s">
        <v>259</v>
      </c>
      <c r="D110" s="30" t="s">
        <v>38</v>
      </c>
      <c r="E110" s="18" t="s">
        <v>14</v>
      </c>
      <c r="F110" s="31">
        <v>49.99</v>
      </c>
      <c r="G110" s="31"/>
      <c r="H110" s="37">
        <f t="shared" ca="1" si="2"/>
        <v>657.02999999999952</v>
      </c>
    </row>
    <row r="111" spans="1:8" x14ac:dyDescent="0.2">
      <c r="A111" s="17">
        <v>44671</v>
      </c>
      <c r="B111" s="18"/>
      <c r="C111" s="19" t="s">
        <v>66</v>
      </c>
      <c r="D111" s="30" t="s">
        <v>260</v>
      </c>
      <c r="E111" s="18" t="s">
        <v>14</v>
      </c>
      <c r="F111" s="31">
        <v>20</v>
      </c>
      <c r="G111" s="31"/>
      <c r="H111" s="37">
        <f t="shared" ca="1" si="2"/>
        <v>637.02999999999952</v>
      </c>
    </row>
    <row r="112" spans="1:8" x14ac:dyDescent="0.2">
      <c r="A112" s="17">
        <v>44669</v>
      </c>
      <c r="B112" s="18"/>
      <c r="C112" s="19" t="s">
        <v>33</v>
      </c>
      <c r="D112" s="30" t="s">
        <v>34</v>
      </c>
      <c r="E112" s="18" t="s">
        <v>14</v>
      </c>
      <c r="F112" s="31">
        <v>25</v>
      </c>
      <c r="G112" s="31"/>
      <c r="H112" s="37">
        <f t="shared" ca="1" si="2"/>
        <v>612.02999999999952</v>
      </c>
    </row>
    <row r="113" spans="1:8" x14ac:dyDescent="0.2">
      <c r="A113" s="17">
        <v>44669</v>
      </c>
      <c r="B113" s="18"/>
      <c r="C113" s="19" t="s">
        <v>33</v>
      </c>
      <c r="D113" s="30" t="s">
        <v>34</v>
      </c>
      <c r="E113" s="18" t="s">
        <v>14</v>
      </c>
      <c r="F113" s="31">
        <v>10</v>
      </c>
      <c r="G113" s="31"/>
      <c r="H113" s="37">
        <f t="shared" ca="1" si="2"/>
        <v>602.02999999999952</v>
      </c>
    </row>
    <row r="114" spans="1:8" x14ac:dyDescent="0.2">
      <c r="A114" s="17">
        <v>44669</v>
      </c>
      <c r="B114" s="18"/>
      <c r="C114" s="19" t="s">
        <v>33</v>
      </c>
      <c r="D114" s="30" t="s">
        <v>34</v>
      </c>
      <c r="E114" s="18" t="s">
        <v>14</v>
      </c>
      <c r="F114" s="31">
        <v>10</v>
      </c>
      <c r="G114" s="31"/>
      <c r="H114" s="37">
        <f t="shared" ca="1" si="2"/>
        <v>592.02999999999952</v>
      </c>
    </row>
    <row r="115" spans="1:8" x14ac:dyDescent="0.2">
      <c r="A115" s="17">
        <v>44673</v>
      </c>
      <c r="B115" s="18"/>
      <c r="C115" s="19" t="s">
        <v>33</v>
      </c>
      <c r="D115" s="30" t="s">
        <v>40</v>
      </c>
      <c r="E115" s="18" t="s">
        <v>14</v>
      </c>
      <c r="F115" s="31"/>
      <c r="G115" s="31">
        <v>3036.53</v>
      </c>
      <c r="H115" s="37">
        <f t="shared" ca="1" si="2"/>
        <v>3628.5599999999995</v>
      </c>
    </row>
    <row r="116" spans="1:8" x14ac:dyDescent="0.2">
      <c r="A116" s="17">
        <v>44673</v>
      </c>
      <c r="B116" s="18"/>
      <c r="C116" s="19" t="s">
        <v>27</v>
      </c>
      <c r="D116" s="30" t="s">
        <v>30</v>
      </c>
      <c r="E116" s="18" t="s">
        <v>14</v>
      </c>
      <c r="F116" s="31">
        <v>68.03</v>
      </c>
      <c r="G116" s="31"/>
      <c r="H116" s="37">
        <f t="shared" ca="1" si="2"/>
        <v>3560.5299999999993</v>
      </c>
    </row>
    <row r="117" spans="1:8" x14ac:dyDescent="0.2">
      <c r="A117" s="17">
        <v>44673</v>
      </c>
      <c r="B117" s="18"/>
      <c r="C117" s="19" t="s">
        <v>36</v>
      </c>
      <c r="D117" s="30" t="s">
        <v>62</v>
      </c>
      <c r="E117" s="18" t="s">
        <v>14</v>
      </c>
      <c r="F117" s="31">
        <v>510</v>
      </c>
      <c r="G117" s="31"/>
      <c r="H117" s="37">
        <f t="shared" ca="1" si="2"/>
        <v>3050.5299999999993</v>
      </c>
    </row>
    <row r="118" spans="1:8" x14ac:dyDescent="0.2">
      <c r="A118" s="17">
        <v>44679</v>
      </c>
      <c r="B118" s="18"/>
      <c r="C118" s="19" t="s">
        <v>250</v>
      </c>
      <c r="D118" s="30" t="s">
        <v>32</v>
      </c>
      <c r="E118" s="18" t="s">
        <v>14</v>
      </c>
      <c r="F118" s="31">
        <v>190</v>
      </c>
      <c r="G118" s="31"/>
      <c r="H118" s="37">
        <f t="shared" ca="1" si="2"/>
        <v>2860.5299999999993</v>
      </c>
    </row>
    <row r="119" spans="1:8" x14ac:dyDescent="0.2">
      <c r="A119" s="17">
        <v>44680</v>
      </c>
      <c r="B119" s="18"/>
      <c r="C119" s="19" t="s">
        <v>241</v>
      </c>
      <c r="D119" s="30" t="s">
        <v>55</v>
      </c>
      <c r="E119" s="18" t="s">
        <v>14</v>
      </c>
      <c r="F119" s="31">
        <v>1175.48</v>
      </c>
      <c r="G119" s="31"/>
      <c r="H119" s="37">
        <f t="shared" ca="1" si="2"/>
        <v>1685.0499999999993</v>
      </c>
    </row>
    <row r="120" spans="1:8" x14ac:dyDescent="0.2">
      <c r="A120" s="17">
        <v>44683</v>
      </c>
      <c r="B120" s="18">
        <v>1389</v>
      </c>
      <c r="C120" s="19" t="s">
        <v>48</v>
      </c>
      <c r="D120" s="30" t="s">
        <v>261</v>
      </c>
      <c r="E120" s="18" t="s">
        <v>14</v>
      </c>
      <c r="F120" s="31">
        <v>10</v>
      </c>
      <c r="G120" s="31"/>
      <c r="H120" s="37">
        <f t="shared" ca="1" si="2"/>
        <v>1675.0499999999993</v>
      </c>
    </row>
    <row r="121" spans="1:8" x14ac:dyDescent="0.2">
      <c r="A121" s="17">
        <v>44683</v>
      </c>
      <c r="B121" s="18">
        <v>1390</v>
      </c>
      <c r="C121" s="19" t="s">
        <v>51</v>
      </c>
      <c r="D121" s="30" t="s">
        <v>262</v>
      </c>
      <c r="E121" s="18" t="s">
        <v>14</v>
      </c>
      <c r="F121" s="31">
        <v>25</v>
      </c>
      <c r="G121" s="31"/>
      <c r="H121" s="37">
        <f t="shared" ca="1" si="2"/>
        <v>1650.0499999999993</v>
      </c>
    </row>
    <row r="122" spans="1:8" x14ac:dyDescent="0.2">
      <c r="A122" s="17">
        <v>44683</v>
      </c>
      <c r="B122" s="18">
        <v>1391</v>
      </c>
      <c r="C122" s="19" t="s">
        <v>51</v>
      </c>
      <c r="D122" s="30" t="s">
        <v>262</v>
      </c>
      <c r="E122" s="18" t="s">
        <v>14</v>
      </c>
      <c r="F122" s="31">
        <v>25</v>
      </c>
      <c r="G122" s="31"/>
      <c r="H122" s="37">
        <f t="shared" ca="1" si="2"/>
        <v>1625.0499999999993</v>
      </c>
    </row>
    <row r="123" spans="1:8" x14ac:dyDescent="0.2">
      <c r="A123" s="17">
        <v>44683</v>
      </c>
      <c r="B123" s="18"/>
      <c r="C123" s="19" t="s">
        <v>33</v>
      </c>
      <c r="D123" s="30" t="s">
        <v>245</v>
      </c>
      <c r="E123" s="18" t="s">
        <v>14</v>
      </c>
      <c r="F123" s="31"/>
      <c r="G123" s="31">
        <v>2.75</v>
      </c>
      <c r="H123" s="37">
        <f t="shared" ca="1" si="2"/>
        <v>1627.7999999999993</v>
      </c>
    </row>
    <row r="124" spans="1:8" x14ac:dyDescent="0.2">
      <c r="A124" s="17">
        <v>44683</v>
      </c>
      <c r="B124" s="18"/>
      <c r="C124" s="19" t="s">
        <v>66</v>
      </c>
      <c r="D124" s="30" t="s">
        <v>263</v>
      </c>
      <c r="E124" s="18" t="s">
        <v>14</v>
      </c>
      <c r="F124" s="31">
        <v>34.049999999999997</v>
      </c>
      <c r="G124" s="31"/>
      <c r="H124" s="37">
        <f t="shared" ca="1" si="2"/>
        <v>1593.7499999999993</v>
      </c>
    </row>
    <row r="125" spans="1:8" x14ac:dyDescent="0.2">
      <c r="A125" s="17">
        <v>44683</v>
      </c>
      <c r="B125" s="18"/>
      <c r="C125" s="19" t="s">
        <v>29</v>
      </c>
      <c r="D125" s="30" t="s">
        <v>45</v>
      </c>
      <c r="E125" s="18" t="s">
        <v>14</v>
      </c>
      <c r="F125" s="31">
        <v>72.33</v>
      </c>
      <c r="G125" s="31"/>
      <c r="H125" s="37">
        <f t="shared" ca="1" si="2"/>
        <v>1521.4199999999994</v>
      </c>
    </row>
    <row r="126" spans="1:8" x14ac:dyDescent="0.2">
      <c r="A126" s="17">
        <v>44685</v>
      </c>
      <c r="B126" s="18">
        <v>1392</v>
      </c>
      <c r="C126" s="19" t="s">
        <v>48</v>
      </c>
      <c r="D126" s="30" t="s">
        <v>264</v>
      </c>
      <c r="E126" s="18" t="s">
        <v>14</v>
      </c>
      <c r="F126" s="31">
        <v>13.5</v>
      </c>
      <c r="G126" s="31"/>
      <c r="H126" s="37">
        <f t="shared" ca="1" si="2"/>
        <v>1507.9199999999994</v>
      </c>
    </row>
    <row r="127" spans="1:8" x14ac:dyDescent="0.2">
      <c r="A127" s="17">
        <v>44685</v>
      </c>
      <c r="B127" s="18">
        <v>1393</v>
      </c>
      <c r="C127" s="19" t="s">
        <v>48</v>
      </c>
      <c r="D127" s="30" t="s">
        <v>265</v>
      </c>
      <c r="E127" s="18" t="s">
        <v>14</v>
      </c>
      <c r="F127" s="31">
        <v>20</v>
      </c>
      <c r="G127" s="31"/>
      <c r="H127" s="37">
        <f t="shared" ca="1" si="2"/>
        <v>1487.9199999999994</v>
      </c>
    </row>
    <row r="128" spans="1:8" x14ac:dyDescent="0.2">
      <c r="A128" s="17">
        <v>44687</v>
      </c>
      <c r="B128" s="18"/>
      <c r="C128" s="19" t="s">
        <v>33</v>
      </c>
      <c r="D128" s="30" t="s">
        <v>40</v>
      </c>
      <c r="E128" s="18" t="s">
        <v>14</v>
      </c>
      <c r="F128" s="31"/>
      <c r="G128" s="31">
        <v>3080.23</v>
      </c>
      <c r="H128" s="37">
        <f t="shared" ca="1" si="2"/>
        <v>4568.1499999999996</v>
      </c>
    </row>
    <row r="129" spans="1:8" x14ac:dyDescent="0.2">
      <c r="A129" s="17">
        <v>44687</v>
      </c>
      <c r="B129" s="18"/>
      <c r="C129" s="19" t="s">
        <v>33</v>
      </c>
      <c r="D129" s="30" t="s">
        <v>44</v>
      </c>
      <c r="E129" s="18" t="s">
        <v>14</v>
      </c>
      <c r="F129" s="31">
        <v>2742.78</v>
      </c>
      <c r="G129" s="31"/>
      <c r="H129" s="37">
        <f t="shared" ca="1" si="2"/>
        <v>1825.3699999999994</v>
      </c>
    </row>
    <row r="130" spans="1:8" x14ac:dyDescent="0.2">
      <c r="A130" s="17">
        <v>44687</v>
      </c>
      <c r="B130" s="18"/>
      <c r="C130" s="19" t="s">
        <v>59</v>
      </c>
      <c r="D130" s="30" t="s">
        <v>60</v>
      </c>
      <c r="E130" s="18" t="s">
        <v>14</v>
      </c>
      <c r="F130" s="31">
        <v>150</v>
      </c>
      <c r="G130" s="31"/>
      <c r="H130" s="37">
        <f t="shared" ca="1" si="2"/>
        <v>1675.3699999999994</v>
      </c>
    </row>
    <row r="131" spans="1:8" x14ac:dyDescent="0.2">
      <c r="A131" s="17">
        <v>44690</v>
      </c>
      <c r="B131" s="18">
        <v>1394</v>
      </c>
      <c r="C131" s="19" t="s">
        <v>266</v>
      </c>
      <c r="D131" s="30" t="s">
        <v>267</v>
      </c>
      <c r="E131" s="18" t="s">
        <v>14</v>
      </c>
      <c r="F131" s="31">
        <v>44</v>
      </c>
      <c r="G131" s="31"/>
      <c r="H131" s="37">
        <f t="shared" ca="1" si="2"/>
        <v>1631.3699999999994</v>
      </c>
    </row>
    <row r="132" spans="1:8" x14ac:dyDescent="0.2">
      <c r="A132" s="17">
        <v>44690</v>
      </c>
      <c r="B132" s="18">
        <v>1395</v>
      </c>
      <c r="C132" s="19" t="s">
        <v>266</v>
      </c>
      <c r="D132" s="30" t="s">
        <v>267</v>
      </c>
      <c r="E132" s="18" t="s">
        <v>14</v>
      </c>
      <c r="F132" s="31">
        <v>44</v>
      </c>
      <c r="G132" s="31"/>
      <c r="H132" s="37">
        <f t="shared" ca="1" si="2"/>
        <v>1587.3699999999994</v>
      </c>
    </row>
    <row r="133" spans="1:8" x14ac:dyDescent="0.2">
      <c r="A133" s="17">
        <v>44691</v>
      </c>
      <c r="B133" s="18"/>
      <c r="C133" s="19" t="s">
        <v>242</v>
      </c>
      <c r="D133" s="30"/>
      <c r="E133" s="18" t="s">
        <v>14</v>
      </c>
      <c r="F133" s="31">
        <v>99</v>
      </c>
      <c r="G133" s="31"/>
      <c r="H133" s="37">
        <f t="shared" ca="1" si="2"/>
        <v>1488.3699999999994</v>
      </c>
    </row>
    <row r="134" spans="1:8" x14ac:dyDescent="0.2">
      <c r="A134" s="17">
        <v>44691</v>
      </c>
      <c r="B134" s="18"/>
      <c r="C134" s="19" t="s">
        <v>31</v>
      </c>
      <c r="D134" s="30" t="s">
        <v>64</v>
      </c>
      <c r="E134" s="18" t="s">
        <v>14</v>
      </c>
      <c r="F134" s="31">
        <v>545.78</v>
      </c>
      <c r="G134" s="31"/>
      <c r="H134" s="37">
        <f t="shared" ca="1" si="2"/>
        <v>942.58999999999946</v>
      </c>
    </row>
    <row r="135" spans="1:8" x14ac:dyDescent="0.2">
      <c r="A135" s="17">
        <v>44691</v>
      </c>
      <c r="B135" s="18"/>
      <c r="C135" s="19" t="s">
        <v>46</v>
      </c>
      <c r="D135" s="30" t="s">
        <v>47</v>
      </c>
      <c r="E135" s="18" t="s">
        <v>14</v>
      </c>
      <c r="F135" s="31">
        <v>296.31</v>
      </c>
      <c r="G135" s="31"/>
      <c r="H135" s="37">
        <f t="shared" ca="1" si="2"/>
        <v>646.27999999999952</v>
      </c>
    </row>
    <row r="136" spans="1:8" x14ac:dyDescent="0.2">
      <c r="A136" s="17">
        <v>44691</v>
      </c>
      <c r="B136" s="18"/>
      <c r="C136" s="19" t="s">
        <v>33</v>
      </c>
      <c r="D136" s="30" t="s">
        <v>50</v>
      </c>
      <c r="E136" s="18" t="s">
        <v>14</v>
      </c>
      <c r="F136" s="31">
        <v>2943.59</v>
      </c>
      <c r="G136" s="31"/>
      <c r="H136" s="37">
        <f t="shared" ca="1" si="2"/>
        <v>-2297.3100000000004</v>
      </c>
    </row>
    <row r="137" spans="1:8" x14ac:dyDescent="0.2">
      <c r="A137" s="17">
        <v>44691</v>
      </c>
      <c r="B137" s="18"/>
      <c r="C137" s="19" t="s">
        <v>52</v>
      </c>
      <c r="D137" s="30"/>
      <c r="E137" s="18" t="s">
        <v>14</v>
      </c>
      <c r="F137" s="31"/>
      <c r="G137" s="31">
        <v>2300</v>
      </c>
      <c r="H137" s="37">
        <f t="shared" ca="1" si="2"/>
        <v>2.6899999999995998</v>
      </c>
    </row>
    <row r="138" spans="1:8" x14ac:dyDescent="0.2">
      <c r="A138" s="17">
        <v>44691</v>
      </c>
      <c r="B138" s="18"/>
      <c r="C138" s="19" t="s">
        <v>33</v>
      </c>
      <c r="D138" s="30" t="s">
        <v>34</v>
      </c>
      <c r="E138" s="18" t="s">
        <v>14</v>
      </c>
      <c r="F138" s="31">
        <v>20</v>
      </c>
      <c r="G138" s="31"/>
      <c r="H138" s="37">
        <f t="shared" ca="1" si="2"/>
        <v>-17.3100000000004</v>
      </c>
    </row>
    <row r="139" spans="1:8" x14ac:dyDescent="0.2">
      <c r="A139" s="17">
        <v>44687</v>
      </c>
      <c r="B139" s="18"/>
      <c r="C139" s="19" t="s">
        <v>33</v>
      </c>
      <c r="D139" s="30" t="s">
        <v>34</v>
      </c>
      <c r="E139" s="18" t="s">
        <v>14</v>
      </c>
      <c r="F139" s="31">
        <v>45</v>
      </c>
      <c r="G139" s="31"/>
      <c r="H139" s="37">
        <f t="shared" ca="1" si="2"/>
        <v>-62.3100000000004</v>
      </c>
    </row>
    <row r="140" spans="1:8" x14ac:dyDescent="0.2">
      <c r="A140" s="17">
        <v>44701</v>
      </c>
      <c r="B140" s="18"/>
      <c r="C140" s="19" t="s">
        <v>33</v>
      </c>
      <c r="D140" s="30" t="s">
        <v>40</v>
      </c>
      <c r="E140" s="18" t="s">
        <v>14</v>
      </c>
      <c r="F140" s="31"/>
      <c r="G140" s="31">
        <v>3080.22</v>
      </c>
      <c r="H140" s="37">
        <f t="shared" ca="1" si="2"/>
        <v>3017.9099999999994</v>
      </c>
    </row>
    <row r="141" spans="1:8" x14ac:dyDescent="0.2">
      <c r="A141" s="17">
        <v>44701</v>
      </c>
      <c r="B141" s="18"/>
      <c r="C141" s="19" t="s">
        <v>259</v>
      </c>
      <c r="D141" s="30" t="s">
        <v>38</v>
      </c>
      <c r="E141" s="18" t="s">
        <v>14</v>
      </c>
      <c r="F141" s="31">
        <v>49.99</v>
      </c>
      <c r="G141" s="31"/>
      <c r="H141" s="37">
        <f t="shared" ca="1" si="2"/>
        <v>2967.9199999999996</v>
      </c>
    </row>
    <row r="142" spans="1:8" x14ac:dyDescent="0.2">
      <c r="A142" s="17">
        <v>44701</v>
      </c>
      <c r="B142" s="18"/>
      <c r="C142" s="19" t="s">
        <v>36</v>
      </c>
      <c r="D142" s="30" t="s">
        <v>62</v>
      </c>
      <c r="E142" s="18" t="s">
        <v>14</v>
      </c>
      <c r="F142" s="31">
        <v>510</v>
      </c>
      <c r="G142" s="31"/>
      <c r="H142" s="37">
        <f t="shared" ca="1" si="2"/>
        <v>2457.9199999999996</v>
      </c>
    </row>
    <row r="143" spans="1:8" x14ac:dyDescent="0.2">
      <c r="A143" s="17">
        <v>44701</v>
      </c>
      <c r="B143" s="18"/>
      <c r="C143" s="19" t="s">
        <v>27</v>
      </c>
      <c r="D143" s="30" t="s">
        <v>30</v>
      </c>
      <c r="E143" s="18" t="s">
        <v>14</v>
      </c>
      <c r="F143" s="31">
        <v>84.23</v>
      </c>
      <c r="G143" s="31"/>
      <c r="H143" s="37">
        <f t="shared" ca="1" si="2"/>
        <v>2373.6899999999996</v>
      </c>
    </row>
    <row r="144" spans="1:8" x14ac:dyDescent="0.2">
      <c r="A144" s="17">
        <v>44711</v>
      </c>
      <c r="B144" s="18"/>
      <c r="C144" s="19" t="s">
        <v>29</v>
      </c>
      <c r="D144" s="30" t="s">
        <v>45</v>
      </c>
      <c r="E144" s="18" t="s">
        <v>14</v>
      </c>
      <c r="F144" s="31">
        <v>227.68</v>
      </c>
      <c r="G144" s="31"/>
      <c r="H144" s="37">
        <f t="shared" ca="1" si="2"/>
        <v>2146.0099999999998</v>
      </c>
    </row>
    <row r="145" spans="1:8" x14ac:dyDescent="0.2">
      <c r="A145" s="17">
        <v>44708</v>
      </c>
      <c r="B145" s="18"/>
      <c r="C145" s="19" t="s">
        <v>28</v>
      </c>
      <c r="D145" s="30" t="s">
        <v>55</v>
      </c>
      <c r="E145" s="18" t="s">
        <v>14</v>
      </c>
      <c r="F145" s="31">
        <v>1175.48</v>
      </c>
      <c r="G145" s="31"/>
      <c r="H145" s="37">
        <f t="shared" ca="1" si="2"/>
        <v>970.52999999999975</v>
      </c>
    </row>
    <row r="146" spans="1:8" x14ac:dyDescent="0.2">
      <c r="A146" s="17">
        <v>44713</v>
      </c>
      <c r="B146" s="18">
        <v>1396</v>
      </c>
      <c r="C146" s="19" t="s">
        <v>268</v>
      </c>
      <c r="D146" s="30" t="s">
        <v>269</v>
      </c>
      <c r="E146" s="18" t="s">
        <v>14</v>
      </c>
      <c r="F146" s="31">
        <v>17</v>
      </c>
      <c r="G146" s="31"/>
      <c r="H146" s="37">
        <f t="shared" ca="1" si="2"/>
        <v>953.52999999999975</v>
      </c>
    </row>
    <row r="147" spans="1:8" x14ac:dyDescent="0.2">
      <c r="A147" s="17">
        <v>44712</v>
      </c>
      <c r="B147" s="18"/>
      <c r="C147" s="19" t="s">
        <v>66</v>
      </c>
      <c r="D147" s="30" t="s">
        <v>270</v>
      </c>
      <c r="E147" s="18" t="s">
        <v>14</v>
      </c>
      <c r="F147" s="31">
        <v>25</v>
      </c>
      <c r="G147" s="31"/>
      <c r="H147" s="37">
        <f t="shared" ca="1" si="2"/>
        <v>928.52999999999975</v>
      </c>
    </row>
    <row r="148" spans="1:8" x14ac:dyDescent="0.2">
      <c r="A148" s="17">
        <v>44714</v>
      </c>
      <c r="B148" s="18"/>
      <c r="C148" s="19" t="s">
        <v>33</v>
      </c>
      <c r="D148" s="30" t="s">
        <v>44</v>
      </c>
      <c r="E148" s="18" t="s">
        <v>14</v>
      </c>
      <c r="F148" s="31">
        <v>12.78</v>
      </c>
      <c r="G148" s="31"/>
      <c r="H148" s="37">
        <f t="shared" ca="1" si="2"/>
        <v>915.74999999999977</v>
      </c>
    </row>
    <row r="149" spans="1:8" x14ac:dyDescent="0.2">
      <c r="A149" s="17">
        <v>44714</v>
      </c>
      <c r="B149" s="18"/>
      <c r="C149" s="19" t="s">
        <v>250</v>
      </c>
      <c r="D149" s="30"/>
      <c r="E149" s="18" t="s">
        <v>14</v>
      </c>
      <c r="F149" s="31">
        <v>236</v>
      </c>
      <c r="G149" s="31"/>
      <c r="H149" s="37">
        <f t="shared" ca="1" si="2"/>
        <v>679.74999999999977</v>
      </c>
    </row>
    <row r="150" spans="1:8" x14ac:dyDescent="0.2">
      <c r="A150" s="17">
        <v>44715</v>
      </c>
      <c r="B150" s="18"/>
      <c r="C150" s="19" t="s">
        <v>33</v>
      </c>
      <c r="D150" s="30" t="s">
        <v>40</v>
      </c>
      <c r="E150" s="18" t="s">
        <v>14</v>
      </c>
      <c r="F150" s="31"/>
      <c r="G150" s="31">
        <v>3080.23</v>
      </c>
      <c r="H150" s="37">
        <f t="shared" ca="1" si="2"/>
        <v>3759.9799999999996</v>
      </c>
    </row>
    <row r="151" spans="1:8" x14ac:dyDescent="0.2">
      <c r="A151" s="17">
        <v>44715</v>
      </c>
      <c r="B151" s="18"/>
      <c r="C151" s="19" t="s">
        <v>59</v>
      </c>
      <c r="D151" s="30" t="s">
        <v>60</v>
      </c>
      <c r="E151" s="18" t="s">
        <v>14</v>
      </c>
      <c r="F151" s="31">
        <v>120</v>
      </c>
      <c r="G151" s="31"/>
      <c r="H151" s="37">
        <f t="shared" ca="1" si="2"/>
        <v>3639.9799999999996</v>
      </c>
    </row>
    <row r="152" spans="1:8" x14ac:dyDescent="0.2">
      <c r="A152" s="17">
        <v>44715</v>
      </c>
      <c r="B152" s="18"/>
      <c r="C152" s="19" t="s">
        <v>242</v>
      </c>
      <c r="D152" s="30"/>
      <c r="E152" s="18" t="s">
        <v>14</v>
      </c>
      <c r="F152" s="31">
        <v>99</v>
      </c>
      <c r="G152" s="31"/>
      <c r="H152" s="37">
        <f t="shared" ca="1" si="2"/>
        <v>3540.9799999999996</v>
      </c>
    </row>
    <row r="153" spans="1:8" x14ac:dyDescent="0.2">
      <c r="A153" s="17">
        <v>44715</v>
      </c>
      <c r="B153" s="18"/>
      <c r="C153" s="19" t="s">
        <v>271</v>
      </c>
      <c r="D153" s="30" t="s">
        <v>50</v>
      </c>
      <c r="E153" s="18" t="s">
        <v>14</v>
      </c>
      <c r="F153" s="31">
        <v>3870.12</v>
      </c>
      <c r="G153" s="31"/>
      <c r="H153" s="37">
        <f t="shared" ca="1" si="2"/>
        <v>-329.14000000000033</v>
      </c>
    </row>
    <row r="154" spans="1:8" x14ac:dyDescent="0.2">
      <c r="A154" s="17">
        <v>44715</v>
      </c>
      <c r="B154" s="18"/>
      <c r="C154" s="19" t="s">
        <v>31</v>
      </c>
      <c r="D154" s="30" t="s">
        <v>64</v>
      </c>
      <c r="E154" s="18" t="s">
        <v>14</v>
      </c>
      <c r="F154" s="31">
        <v>545.78</v>
      </c>
      <c r="G154" s="31"/>
      <c r="H154" s="37">
        <f t="shared" ca="1" si="2"/>
        <v>-874.9200000000003</v>
      </c>
    </row>
    <row r="155" spans="1:8" x14ac:dyDescent="0.2">
      <c r="A155" s="17">
        <v>44715</v>
      </c>
      <c r="B155" s="18"/>
      <c r="C155" s="19" t="s">
        <v>52</v>
      </c>
      <c r="D155" s="30"/>
      <c r="E155" s="18" t="s">
        <v>14</v>
      </c>
      <c r="F155" s="31"/>
      <c r="G155" s="31">
        <v>875</v>
      </c>
      <c r="H155" s="37">
        <f t="shared" ca="1" si="2"/>
        <v>7.9999999999699867E-2</v>
      </c>
    </row>
    <row r="156" spans="1:8" x14ac:dyDescent="0.2">
      <c r="A156" s="17">
        <v>44720</v>
      </c>
      <c r="B156" s="18"/>
      <c r="C156" s="19" t="s">
        <v>272</v>
      </c>
      <c r="D156" s="30"/>
      <c r="E156" s="18" t="s">
        <v>14</v>
      </c>
      <c r="F156" s="31">
        <v>163.44999999999999</v>
      </c>
      <c r="G156" s="31"/>
      <c r="H156" s="37">
        <f t="shared" ca="1" si="2"/>
        <v>-163.37000000000029</v>
      </c>
    </row>
    <row r="157" spans="1:8" x14ac:dyDescent="0.2">
      <c r="A157" s="17">
        <v>44720</v>
      </c>
      <c r="B157" s="18"/>
      <c r="C157" s="19" t="s">
        <v>33</v>
      </c>
      <c r="D157" s="30" t="s">
        <v>34</v>
      </c>
      <c r="E157" s="18" t="s">
        <v>14</v>
      </c>
      <c r="F157" s="31">
        <v>20</v>
      </c>
      <c r="G157" s="31"/>
      <c r="H157" s="37">
        <f t="shared" ca="1" si="2"/>
        <v>-183.37000000000029</v>
      </c>
    </row>
    <row r="158" spans="1:8" x14ac:dyDescent="0.2">
      <c r="A158" s="17">
        <v>44725</v>
      </c>
      <c r="B158" s="18"/>
      <c r="C158" s="19" t="s">
        <v>22</v>
      </c>
      <c r="D158" s="30"/>
      <c r="E158" s="18" t="s">
        <v>14</v>
      </c>
      <c r="F158" s="31">
        <v>60.5</v>
      </c>
      <c r="G158" s="31"/>
      <c r="H158" s="37">
        <f t="shared" ca="1" si="2"/>
        <v>-243.87000000000029</v>
      </c>
    </row>
    <row r="159" spans="1:8" x14ac:dyDescent="0.2">
      <c r="A159" s="17">
        <v>44725</v>
      </c>
      <c r="B159" s="18"/>
      <c r="C159" s="19" t="s">
        <v>273</v>
      </c>
      <c r="D159" s="30" t="s">
        <v>44</v>
      </c>
      <c r="E159" s="18" t="s">
        <v>14</v>
      </c>
      <c r="F159" s="31">
        <v>25.56</v>
      </c>
      <c r="G159" s="31"/>
      <c r="H159" s="37">
        <f t="shared" ca="1" si="2"/>
        <v>-269.43000000000029</v>
      </c>
    </row>
    <row r="160" spans="1:8" x14ac:dyDescent="0.2">
      <c r="A160" s="17">
        <v>44725</v>
      </c>
      <c r="B160" s="18"/>
      <c r="C160" s="19" t="s">
        <v>33</v>
      </c>
      <c r="D160" s="30" t="s">
        <v>274</v>
      </c>
      <c r="E160" s="18" t="s">
        <v>14</v>
      </c>
      <c r="F160" s="31"/>
      <c r="G160" s="31">
        <v>342.82</v>
      </c>
      <c r="H160" s="37">
        <f t="shared" ca="1" si="2"/>
        <v>73.389999999999702</v>
      </c>
    </row>
    <row r="161" spans="1:8" x14ac:dyDescent="0.2">
      <c r="A161" s="17">
        <v>44726</v>
      </c>
      <c r="B161" s="18"/>
      <c r="C161" s="19" t="s">
        <v>250</v>
      </c>
      <c r="D161" s="30" t="s">
        <v>57</v>
      </c>
      <c r="E161" s="18" t="s">
        <v>14</v>
      </c>
      <c r="F161" s="31">
        <v>249</v>
      </c>
      <c r="G161" s="31"/>
      <c r="H161" s="37">
        <f t="shared" ca="1" si="2"/>
        <v>-175.6100000000003</v>
      </c>
    </row>
    <row r="162" spans="1:8" x14ac:dyDescent="0.2">
      <c r="A162" s="17">
        <v>44729</v>
      </c>
      <c r="B162" s="18"/>
      <c r="C162" s="19" t="s">
        <v>33</v>
      </c>
      <c r="D162" s="30" t="s">
        <v>40</v>
      </c>
      <c r="E162" s="18" t="s">
        <v>14</v>
      </c>
      <c r="F162" s="31"/>
      <c r="G162" s="31">
        <v>3080.22</v>
      </c>
      <c r="H162" s="37">
        <f t="shared" ca="1" si="2"/>
        <v>2904.6099999999997</v>
      </c>
    </row>
    <row r="163" spans="1:8" x14ac:dyDescent="0.2">
      <c r="A163" s="17">
        <v>44729</v>
      </c>
      <c r="B163" s="18"/>
      <c r="C163" s="19" t="s">
        <v>46</v>
      </c>
      <c r="D163" s="30" t="s">
        <v>47</v>
      </c>
      <c r="E163" s="18" t="s">
        <v>14</v>
      </c>
      <c r="F163" s="31">
        <v>81.06</v>
      </c>
      <c r="G163" s="31"/>
      <c r="H163" s="37">
        <f t="shared" ca="1" si="2"/>
        <v>2823.5499999999997</v>
      </c>
    </row>
    <row r="164" spans="1:8" x14ac:dyDescent="0.2">
      <c r="A164" s="17">
        <v>44732</v>
      </c>
      <c r="B164" s="18"/>
      <c r="C164" s="19" t="s">
        <v>259</v>
      </c>
      <c r="D164" s="30" t="s">
        <v>38</v>
      </c>
      <c r="E164" s="18" t="s">
        <v>14</v>
      </c>
      <c r="F164" s="31">
        <v>49.99</v>
      </c>
      <c r="G164" s="31"/>
      <c r="H164" s="37">
        <f t="shared" ca="1" si="2"/>
        <v>2773.56</v>
      </c>
    </row>
    <row r="165" spans="1:8" x14ac:dyDescent="0.2">
      <c r="A165" s="17">
        <v>44732</v>
      </c>
      <c r="B165" s="18"/>
      <c r="C165" s="19" t="s">
        <v>27</v>
      </c>
      <c r="D165" s="30" t="s">
        <v>30</v>
      </c>
      <c r="E165" s="18" t="s">
        <v>14</v>
      </c>
      <c r="F165" s="31">
        <v>143.71</v>
      </c>
      <c r="G165" s="31"/>
      <c r="H165" s="37">
        <f t="shared" ca="1" si="2"/>
        <v>2629.85</v>
      </c>
    </row>
    <row r="166" spans="1:8" x14ac:dyDescent="0.2">
      <c r="A166" s="17">
        <v>44730</v>
      </c>
      <c r="B166" s="18"/>
      <c r="C166" s="19" t="s">
        <v>33</v>
      </c>
      <c r="D166" s="30" t="s">
        <v>34</v>
      </c>
      <c r="E166" s="18" t="s">
        <v>14</v>
      </c>
      <c r="F166" s="31">
        <v>100</v>
      </c>
      <c r="G166" s="31"/>
      <c r="H166" s="37">
        <f t="shared" ca="1" si="2"/>
        <v>2529.85</v>
      </c>
    </row>
    <row r="167" spans="1:8" x14ac:dyDescent="0.2">
      <c r="A167" s="17">
        <v>44733</v>
      </c>
      <c r="B167" s="18"/>
      <c r="C167" s="19" t="s">
        <v>66</v>
      </c>
      <c r="D167" s="30"/>
      <c r="E167" s="18" t="s">
        <v>14</v>
      </c>
      <c r="F167" s="31">
        <v>30</v>
      </c>
      <c r="G167" s="31"/>
      <c r="H167" s="37">
        <f t="shared" ca="1" si="2"/>
        <v>2499.85</v>
      </c>
    </row>
    <row r="168" spans="1:8" x14ac:dyDescent="0.2">
      <c r="A168" s="17">
        <v>44733</v>
      </c>
      <c r="B168" s="18"/>
      <c r="C168" s="19" t="s">
        <v>33</v>
      </c>
      <c r="D168" s="30"/>
      <c r="E168" s="18" t="s">
        <v>14</v>
      </c>
      <c r="F168" s="31"/>
      <c r="G168" s="31">
        <v>19.190000000000001</v>
      </c>
      <c r="H168" s="37">
        <f t="shared" ca="1" si="2"/>
        <v>2519.04</v>
      </c>
    </row>
    <row r="169" spans="1:8" x14ac:dyDescent="0.2">
      <c r="A169" s="17">
        <v>44739</v>
      </c>
      <c r="B169" s="18"/>
      <c r="C169" s="19" t="s">
        <v>33</v>
      </c>
      <c r="D169" s="30" t="s">
        <v>50</v>
      </c>
      <c r="E169" s="18" t="s">
        <v>14</v>
      </c>
      <c r="F169" s="31">
        <v>1.06</v>
      </c>
      <c r="G169" s="31"/>
      <c r="H169" s="37">
        <f t="shared" ca="1" si="2"/>
        <v>2517.98</v>
      </c>
    </row>
    <row r="170" spans="1:8" x14ac:dyDescent="0.2">
      <c r="A170" s="17">
        <v>44743</v>
      </c>
      <c r="B170" s="18"/>
      <c r="C170" s="19" t="s">
        <v>33</v>
      </c>
      <c r="D170" s="30" t="s">
        <v>40</v>
      </c>
      <c r="E170" s="18" t="s">
        <v>14</v>
      </c>
      <c r="F170" s="31"/>
      <c r="G170" s="31">
        <v>3080.23</v>
      </c>
      <c r="H170" s="37">
        <f t="shared" ca="1" si="2"/>
        <v>5598.21</v>
      </c>
    </row>
    <row r="171" spans="1:8" x14ac:dyDescent="0.2">
      <c r="A171" s="17">
        <v>44743</v>
      </c>
      <c r="B171" s="18"/>
      <c r="C171" s="19" t="s">
        <v>29</v>
      </c>
      <c r="D171" s="30" t="s">
        <v>45</v>
      </c>
      <c r="E171" s="18" t="s">
        <v>14</v>
      </c>
      <c r="F171" s="31">
        <v>208.77</v>
      </c>
      <c r="G171" s="31"/>
      <c r="H171" s="37">
        <f t="shared" ca="1" si="2"/>
        <v>5389.44</v>
      </c>
    </row>
    <row r="172" spans="1:8" x14ac:dyDescent="0.2">
      <c r="A172" s="17">
        <v>44743</v>
      </c>
      <c r="B172" s="18"/>
      <c r="C172" s="19" t="s">
        <v>28</v>
      </c>
      <c r="D172" s="30" t="s">
        <v>55</v>
      </c>
      <c r="E172" s="18" t="s">
        <v>14</v>
      </c>
      <c r="F172" s="31">
        <v>1175.48</v>
      </c>
      <c r="G172" s="31"/>
      <c r="H172" s="37">
        <f t="shared" ca="1" si="2"/>
        <v>4213.9599999999991</v>
      </c>
    </row>
    <row r="173" spans="1:8" x14ac:dyDescent="0.2">
      <c r="A173" s="17">
        <v>44743</v>
      </c>
      <c r="B173" s="18"/>
      <c r="C173" s="19" t="s">
        <v>33</v>
      </c>
      <c r="D173" s="30" t="s">
        <v>52</v>
      </c>
      <c r="E173" s="18" t="s">
        <v>14</v>
      </c>
      <c r="F173" s="31"/>
      <c r="G173" s="31">
        <v>2800</v>
      </c>
      <c r="H173" s="37">
        <f t="shared" ca="1" si="2"/>
        <v>7013.9599999999991</v>
      </c>
    </row>
    <row r="174" spans="1:8" x14ac:dyDescent="0.2">
      <c r="A174" s="17">
        <v>44743</v>
      </c>
      <c r="B174" s="18"/>
      <c r="C174" s="19" t="s">
        <v>271</v>
      </c>
      <c r="D174" s="30" t="s">
        <v>47</v>
      </c>
      <c r="E174" s="18" t="s">
        <v>14</v>
      </c>
      <c r="F174" s="31">
        <v>6868.95</v>
      </c>
      <c r="G174" s="31"/>
      <c r="H174" s="37">
        <f t="shared" ca="1" si="2"/>
        <v>145.00999999999931</v>
      </c>
    </row>
    <row r="175" spans="1:8" x14ac:dyDescent="0.2">
      <c r="A175" s="17">
        <v>44743</v>
      </c>
      <c r="B175" s="18"/>
      <c r="C175" s="19" t="s">
        <v>33</v>
      </c>
      <c r="D175" s="30" t="s">
        <v>275</v>
      </c>
      <c r="E175" s="18" t="s">
        <v>14</v>
      </c>
      <c r="F175" s="31"/>
      <c r="G175" s="31">
        <v>39.479999999999997</v>
      </c>
      <c r="H175" s="37">
        <f t="shared" ca="1" si="2"/>
        <v>184.4899999999993</v>
      </c>
    </row>
    <row r="176" spans="1:8" x14ac:dyDescent="0.2">
      <c r="A176" s="17">
        <v>44747</v>
      </c>
      <c r="B176" s="18"/>
      <c r="C176" s="19" t="s">
        <v>276</v>
      </c>
      <c r="D176" s="30" t="s">
        <v>60</v>
      </c>
      <c r="E176" s="18" t="s">
        <v>14</v>
      </c>
      <c r="F176" s="31">
        <v>100</v>
      </c>
      <c r="G176" s="31"/>
      <c r="H176" s="37">
        <f t="shared" ca="1" si="2"/>
        <v>84.489999999999299</v>
      </c>
    </row>
    <row r="177" spans="1:8" x14ac:dyDescent="0.2">
      <c r="A177" s="17">
        <v>44750</v>
      </c>
      <c r="B177" s="18"/>
      <c r="C177" s="19" t="s">
        <v>250</v>
      </c>
      <c r="D177" s="30" t="s">
        <v>32</v>
      </c>
      <c r="E177" s="18" t="s">
        <v>14</v>
      </c>
      <c r="F177" s="31">
        <v>280</v>
      </c>
      <c r="G177" s="31"/>
      <c r="H177" s="37">
        <f t="shared" ca="1" si="2"/>
        <v>-195.5100000000007</v>
      </c>
    </row>
    <row r="178" spans="1:8" x14ac:dyDescent="0.2">
      <c r="A178" s="17">
        <v>44753</v>
      </c>
      <c r="B178" s="18"/>
      <c r="C178" s="19" t="s">
        <v>33</v>
      </c>
      <c r="D178" s="30" t="s">
        <v>277</v>
      </c>
      <c r="E178" s="18" t="s">
        <v>14</v>
      </c>
      <c r="F178" s="31"/>
      <c r="G178" s="31">
        <v>50</v>
      </c>
      <c r="H178" s="37">
        <f t="shared" ca="1" si="2"/>
        <v>-145.5100000000007</v>
      </c>
    </row>
    <row r="179" spans="1:8" x14ac:dyDescent="0.2">
      <c r="A179" s="17">
        <v>44757</v>
      </c>
      <c r="B179" s="18"/>
      <c r="C179" s="19" t="s">
        <v>33</v>
      </c>
      <c r="D179" s="30" t="s">
        <v>40</v>
      </c>
      <c r="E179" s="18" t="s">
        <v>14</v>
      </c>
      <c r="F179" s="31"/>
      <c r="G179" s="31">
        <v>3080.22</v>
      </c>
      <c r="H179" s="37">
        <f t="shared" ca="1" si="2"/>
        <v>2934.7099999999991</v>
      </c>
    </row>
    <row r="180" spans="1:8" x14ac:dyDescent="0.2">
      <c r="A180" s="17">
        <v>44757</v>
      </c>
      <c r="B180" s="18"/>
      <c r="C180" s="19" t="s">
        <v>31</v>
      </c>
      <c r="D180" s="30" t="s">
        <v>64</v>
      </c>
      <c r="E180" s="18" t="s">
        <v>14</v>
      </c>
      <c r="F180" s="31">
        <v>545.78</v>
      </c>
      <c r="G180" s="31"/>
      <c r="H180" s="37">
        <f t="shared" ca="1" si="2"/>
        <v>2388.9299999999994</v>
      </c>
    </row>
    <row r="181" spans="1:8" x14ac:dyDescent="0.2">
      <c r="A181" s="17">
        <v>44757</v>
      </c>
      <c r="B181" s="18"/>
      <c r="C181" s="19" t="s">
        <v>242</v>
      </c>
      <c r="D181" s="30" t="s">
        <v>39</v>
      </c>
      <c r="E181" s="18" t="s">
        <v>14</v>
      </c>
      <c r="F181" s="31">
        <v>152.47</v>
      </c>
      <c r="G181" s="31"/>
      <c r="H181" s="37">
        <f t="shared" ca="1" si="2"/>
        <v>2236.4599999999996</v>
      </c>
    </row>
    <row r="182" spans="1:8" x14ac:dyDescent="0.2">
      <c r="A182" s="17">
        <v>44757</v>
      </c>
      <c r="B182" s="18"/>
      <c r="C182" s="19" t="s">
        <v>46</v>
      </c>
      <c r="D182" s="30" t="s">
        <v>47</v>
      </c>
      <c r="E182" s="18" t="s">
        <v>14</v>
      </c>
      <c r="F182" s="31">
        <v>417.43</v>
      </c>
      <c r="G182" s="31"/>
      <c r="H182" s="37">
        <f t="shared" ca="1" si="2"/>
        <v>1819.0299999999995</v>
      </c>
    </row>
    <row r="183" spans="1:8" x14ac:dyDescent="0.2">
      <c r="A183" s="17">
        <v>44762</v>
      </c>
      <c r="B183" s="18"/>
      <c r="C183" s="19" t="s">
        <v>36</v>
      </c>
      <c r="D183" s="30" t="s">
        <v>278</v>
      </c>
      <c r="E183" s="18" t="s">
        <v>14</v>
      </c>
      <c r="F183" s="31">
        <v>397.43</v>
      </c>
      <c r="G183" s="31"/>
      <c r="H183" s="37">
        <f t="shared" ca="1" si="2"/>
        <v>1421.5999999999995</v>
      </c>
    </row>
    <row r="184" spans="1:8" x14ac:dyDescent="0.2">
      <c r="A184" s="17">
        <v>44762</v>
      </c>
      <c r="B184" s="18"/>
      <c r="C184" s="19" t="s">
        <v>27</v>
      </c>
      <c r="D184" s="30" t="s">
        <v>30</v>
      </c>
      <c r="E184" s="18" t="s">
        <v>14</v>
      </c>
      <c r="F184" s="31">
        <v>152.91999999999999</v>
      </c>
      <c r="G184" s="31"/>
      <c r="H184" s="37">
        <f t="shared" ca="1" si="2"/>
        <v>1268.6799999999994</v>
      </c>
    </row>
    <row r="185" spans="1:8" x14ac:dyDescent="0.2">
      <c r="A185" s="17">
        <v>44762</v>
      </c>
      <c r="B185" s="18"/>
      <c r="C185" s="19" t="s">
        <v>259</v>
      </c>
      <c r="D185" s="30" t="s">
        <v>38</v>
      </c>
      <c r="E185" s="18" t="s">
        <v>14</v>
      </c>
      <c r="F185" s="31">
        <v>79.989999999999995</v>
      </c>
      <c r="G185" s="31"/>
      <c r="H185" s="37">
        <f t="shared" ca="1" si="2"/>
        <v>1188.6899999999994</v>
      </c>
    </row>
    <row r="186" spans="1:8" x14ac:dyDescent="0.2">
      <c r="A186" s="17">
        <v>44767</v>
      </c>
      <c r="B186" s="18">
        <v>1397</v>
      </c>
      <c r="C186" s="19" t="s">
        <v>279</v>
      </c>
      <c r="D186" s="30"/>
      <c r="E186" s="18" t="s">
        <v>14</v>
      </c>
      <c r="F186" s="31">
        <v>775</v>
      </c>
      <c r="G186" s="31"/>
      <c r="H186" s="37">
        <f t="shared" ca="1" si="2"/>
        <v>413.68999999999937</v>
      </c>
    </row>
    <row r="187" spans="1:8" x14ac:dyDescent="0.2">
      <c r="A187" s="17">
        <v>44770</v>
      </c>
      <c r="B187" s="18"/>
      <c r="C187" s="19" t="s">
        <v>33</v>
      </c>
      <c r="D187" s="30" t="s">
        <v>40</v>
      </c>
      <c r="E187" s="18" t="s">
        <v>14</v>
      </c>
      <c r="F187" s="31"/>
      <c r="G187" s="31">
        <v>3080.2220000000002</v>
      </c>
      <c r="H187" s="37">
        <f t="shared" ca="1" si="2"/>
        <v>3493.9119999999994</v>
      </c>
    </row>
    <row r="188" spans="1:8" x14ac:dyDescent="0.2">
      <c r="A188" s="17">
        <v>44770</v>
      </c>
      <c r="B188" s="18"/>
      <c r="C188" s="19" t="s">
        <v>29</v>
      </c>
      <c r="D188" s="30" t="s">
        <v>45</v>
      </c>
      <c r="E188" s="18" t="s">
        <v>14</v>
      </c>
      <c r="F188" s="31">
        <v>199.15</v>
      </c>
      <c r="G188" s="31"/>
      <c r="H188" s="37">
        <f t="shared" ca="1" si="2"/>
        <v>3294.7619999999993</v>
      </c>
    </row>
    <row r="189" spans="1:8" x14ac:dyDescent="0.2">
      <c r="A189" s="17">
        <v>44770</v>
      </c>
      <c r="B189" s="18"/>
      <c r="C189" s="19" t="s">
        <v>33</v>
      </c>
      <c r="D189" s="30" t="s">
        <v>44</v>
      </c>
      <c r="E189" s="18" t="s">
        <v>14</v>
      </c>
      <c r="F189" s="31">
        <v>499.9</v>
      </c>
      <c r="G189" s="31"/>
      <c r="H189" s="37">
        <f t="shared" ca="1" si="2"/>
        <v>2794.8619999999992</v>
      </c>
    </row>
    <row r="190" spans="1:8" x14ac:dyDescent="0.2">
      <c r="A190" s="17">
        <v>44770</v>
      </c>
      <c r="B190" s="18"/>
      <c r="C190" s="19" t="s">
        <v>28</v>
      </c>
      <c r="D190" s="30" t="s">
        <v>55</v>
      </c>
      <c r="E190" s="18" t="s">
        <v>14</v>
      </c>
      <c r="F190" s="31">
        <v>1175.48</v>
      </c>
      <c r="G190" s="31"/>
      <c r="H190" s="37">
        <f t="shared" ca="1" si="2"/>
        <v>1619.3819999999992</v>
      </c>
    </row>
    <row r="191" spans="1:8" x14ac:dyDescent="0.2">
      <c r="A191" s="17">
        <v>44770</v>
      </c>
      <c r="B191" s="18"/>
      <c r="C191" s="19" t="s">
        <v>280</v>
      </c>
      <c r="D191" s="30" t="s">
        <v>47</v>
      </c>
      <c r="E191" s="18" t="s">
        <v>14</v>
      </c>
      <c r="F191" s="31">
        <v>3239.22</v>
      </c>
      <c r="G191" s="31"/>
      <c r="H191" s="37">
        <f t="shared" ca="1" si="2"/>
        <v>-1619.8380000000006</v>
      </c>
    </row>
    <row r="192" spans="1:8" x14ac:dyDescent="0.2">
      <c r="A192" s="17">
        <v>44770</v>
      </c>
      <c r="B192" s="18"/>
      <c r="C192" s="19" t="s">
        <v>52</v>
      </c>
      <c r="D192" s="30"/>
      <c r="E192" s="18" t="s">
        <v>14</v>
      </c>
      <c r="F192" s="31"/>
      <c r="G192" s="31">
        <v>2000</v>
      </c>
      <c r="H192" s="37">
        <f t="shared" ca="1" si="2"/>
        <v>380.16199999999935</v>
      </c>
    </row>
    <row r="193" spans="1:8" x14ac:dyDescent="0.2">
      <c r="A193" s="17">
        <v>44775</v>
      </c>
      <c r="B193" s="18"/>
      <c r="C193" s="19" t="s">
        <v>33</v>
      </c>
      <c r="D193" s="30" t="s">
        <v>34</v>
      </c>
      <c r="E193" s="18" t="s">
        <v>14</v>
      </c>
      <c r="F193" s="31">
        <v>240</v>
      </c>
      <c r="G193" s="31"/>
      <c r="H193" s="37">
        <f t="shared" ca="1" si="2"/>
        <v>140.16199999999935</v>
      </c>
    </row>
    <row r="194" spans="1:8" x14ac:dyDescent="0.2">
      <c r="A194" s="17">
        <v>44777</v>
      </c>
      <c r="B194" s="18"/>
      <c r="C194" s="19" t="s">
        <v>33</v>
      </c>
      <c r="D194" s="30" t="s">
        <v>281</v>
      </c>
      <c r="E194" s="18" t="s">
        <v>14</v>
      </c>
      <c r="F194" s="31"/>
      <c r="G194" s="31">
        <v>14820.5</v>
      </c>
      <c r="H194" s="37">
        <f t="shared" ca="1" si="2"/>
        <v>14960.662</v>
      </c>
    </row>
    <row r="195" spans="1:8" x14ac:dyDescent="0.2">
      <c r="A195" s="17">
        <v>44778</v>
      </c>
      <c r="B195" s="18"/>
      <c r="C195" s="19" t="s">
        <v>282</v>
      </c>
      <c r="D195" s="30" t="s">
        <v>283</v>
      </c>
      <c r="E195" s="18" t="s">
        <v>14</v>
      </c>
      <c r="F195" s="31">
        <v>14800</v>
      </c>
      <c r="G195" s="31"/>
      <c r="H195" s="37">
        <f t="shared" ca="1" si="2"/>
        <v>160.66200000000026</v>
      </c>
    </row>
    <row r="196" spans="1:8" x14ac:dyDescent="0.2">
      <c r="A196" s="17">
        <v>44778</v>
      </c>
      <c r="B196" s="18"/>
      <c r="C196" s="19" t="s">
        <v>250</v>
      </c>
      <c r="D196" s="30"/>
      <c r="E196" s="18" t="s">
        <v>14</v>
      </c>
      <c r="F196" s="31">
        <v>173</v>
      </c>
      <c r="G196" s="31"/>
      <c r="H196" s="37">
        <f t="shared" ca="1" si="2"/>
        <v>-12.337999999999738</v>
      </c>
    </row>
    <row r="197" spans="1:8" x14ac:dyDescent="0.2">
      <c r="A197" s="17">
        <v>44781</v>
      </c>
      <c r="B197" s="18"/>
      <c r="C197" s="19" t="s">
        <v>33</v>
      </c>
      <c r="D197" s="30" t="s">
        <v>281</v>
      </c>
      <c r="E197" s="18" t="s">
        <v>14</v>
      </c>
      <c r="F197" s="31"/>
      <c r="G197" s="31">
        <v>50.03</v>
      </c>
      <c r="H197" s="37">
        <f t="shared" ca="1" si="2"/>
        <v>37.692000000000263</v>
      </c>
    </row>
    <row r="198" spans="1:8" x14ac:dyDescent="0.2">
      <c r="A198" s="17">
        <v>44785</v>
      </c>
      <c r="B198" s="18"/>
      <c r="C198" s="19" t="s">
        <v>33</v>
      </c>
      <c r="D198" s="30" t="s">
        <v>40</v>
      </c>
      <c r="E198" s="18" t="s">
        <v>14</v>
      </c>
      <c r="F198" s="31"/>
      <c r="G198" s="31">
        <v>3080.24</v>
      </c>
      <c r="H198" s="37">
        <f t="shared" ca="1" si="2"/>
        <v>3117.9320000000002</v>
      </c>
    </row>
    <row r="199" spans="1:8" x14ac:dyDescent="0.2">
      <c r="A199" s="17">
        <v>44785</v>
      </c>
      <c r="B199" s="18"/>
      <c r="C199" s="19" t="s">
        <v>59</v>
      </c>
      <c r="D199" s="30" t="s">
        <v>60</v>
      </c>
      <c r="E199" s="18" t="s">
        <v>14</v>
      </c>
      <c r="F199" s="31">
        <v>100</v>
      </c>
      <c r="G199" s="31"/>
      <c r="H199" s="37">
        <f t="shared" ca="1" si="2"/>
        <v>3017.9320000000002</v>
      </c>
    </row>
    <row r="200" spans="1:8" x14ac:dyDescent="0.2">
      <c r="A200" s="17">
        <v>44785</v>
      </c>
      <c r="B200" s="18"/>
      <c r="C200" s="19" t="s">
        <v>242</v>
      </c>
      <c r="D200" s="30" t="s">
        <v>284</v>
      </c>
      <c r="E200" s="18" t="s">
        <v>14</v>
      </c>
      <c r="F200" s="31">
        <v>121</v>
      </c>
      <c r="G200" s="31"/>
      <c r="H200" s="37">
        <f t="shared" ca="1" si="2"/>
        <v>2896.9320000000002</v>
      </c>
    </row>
    <row r="201" spans="1:8" x14ac:dyDescent="0.2">
      <c r="A201" s="17">
        <v>44785</v>
      </c>
      <c r="B201" s="18"/>
      <c r="C201" s="19" t="s">
        <v>31</v>
      </c>
      <c r="D201" s="30" t="s">
        <v>64</v>
      </c>
      <c r="E201" s="18" t="s">
        <v>14</v>
      </c>
      <c r="F201" s="31">
        <v>545.78</v>
      </c>
      <c r="G201" s="31"/>
      <c r="H201" s="37">
        <f t="shared" ca="1" si="2"/>
        <v>2351.152</v>
      </c>
    </row>
    <row r="202" spans="1:8" x14ac:dyDescent="0.2">
      <c r="A202" s="17">
        <v>44785</v>
      </c>
      <c r="B202" s="18"/>
      <c r="C202" s="19" t="s">
        <v>46</v>
      </c>
      <c r="D202" s="30" t="s">
        <v>47</v>
      </c>
      <c r="E202" s="18" t="s">
        <v>14</v>
      </c>
      <c r="F202" s="31">
        <v>414.65</v>
      </c>
      <c r="G202" s="31"/>
      <c r="H202" s="37">
        <f t="shared" ca="1" si="2"/>
        <v>1936.502</v>
      </c>
    </row>
    <row r="203" spans="1:8" x14ac:dyDescent="0.2">
      <c r="A203" s="17">
        <v>44792</v>
      </c>
      <c r="B203" s="18"/>
      <c r="C203" s="19" t="s">
        <v>36</v>
      </c>
      <c r="D203" s="30" t="s">
        <v>278</v>
      </c>
      <c r="E203" s="18" t="s">
        <v>14</v>
      </c>
      <c r="F203" s="31">
        <v>397.43</v>
      </c>
      <c r="G203" s="31"/>
      <c r="H203" s="37">
        <f t="shared" ca="1" si="2"/>
        <v>1539.0719999999999</v>
      </c>
    </row>
    <row r="204" spans="1:8" x14ac:dyDescent="0.2">
      <c r="A204" s="17">
        <v>44792</v>
      </c>
      <c r="B204" s="18"/>
      <c r="C204" s="19" t="s">
        <v>27</v>
      </c>
      <c r="D204" s="30" t="s">
        <v>30</v>
      </c>
      <c r="E204" s="18" t="s">
        <v>14</v>
      </c>
      <c r="F204" s="31">
        <v>201.5</v>
      </c>
      <c r="G204" s="31"/>
      <c r="H204" s="37">
        <f t="shared" ca="1" si="2"/>
        <v>1337.5719999999999</v>
      </c>
    </row>
    <row r="205" spans="1:8" x14ac:dyDescent="0.2">
      <c r="A205" s="17">
        <v>44792</v>
      </c>
      <c r="B205" s="18"/>
      <c r="C205" s="19" t="s">
        <v>259</v>
      </c>
      <c r="D205" s="30" t="s">
        <v>38</v>
      </c>
      <c r="E205" s="18" t="s">
        <v>14</v>
      </c>
      <c r="F205" s="31">
        <v>79.989999999999995</v>
      </c>
      <c r="G205" s="31"/>
      <c r="H205" s="37">
        <f t="shared" ca="1" si="2"/>
        <v>1257.5819999999999</v>
      </c>
    </row>
    <row r="206" spans="1:8" x14ac:dyDescent="0.2">
      <c r="A206" s="17">
        <v>44799</v>
      </c>
      <c r="B206" s="18"/>
      <c r="C206" s="19" t="s">
        <v>33</v>
      </c>
      <c r="D206" s="30" t="s">
        <v>40</v>
      </c>
      <c r="E206" s="18" t="s">
        <v>14</v>
      </c>
      <c r="F206" s="31"/>
      <c r="G206" s="31">
        <v>3080.22</v>
      </c>
      <c r="H206" s="37">
        <f t="shared" ca="1" si="2"/>
        <v>4337.8019999999997</v>
      </c>
    </row>
    <row r="207" spans="1:8" x14ac:dyDescent="0.2">
      <c r="A207" s="17">
        <v>44799</v>
      </c>
      <c r="B207" s="18"/>
      <c r="C207" s="19" t="s">
        <v>29</v>
      </c>
      <c r="D207" s="30" t="s">
        <v>45</v>
      </c>
      <c r="E207" s="18" t="s">
        <v>14</v>
      </c>
      <c r="F207" s="31">
        <v>169.15</v>
      </c>
      <c r="G207" s="31"/>
      <c r="H207" s="37">
        <f t="shared" ca="1" si="2"/>
        <v>4168.652</v>
      </c>
    </row>
    <row r="208" spans="1:8" x14ac:dyDescent="0.2">
      <c r="A208" s="17">
        <v>44799</v>
      </c>
      <c r="B208" s="18"/>
      <c r="C208" s="19" t="s">
        <v>28</v>
      </c>
      <c r="D208" s="30" t="s">
        <v>55</v>
      </c>
      <c r="E208" s="18" t="s">
        <v>14</v>
      </c>
      <c r="F208" s="31">
        <v>1175.48</v>
      </c>
      <c r="G208" s="31"/>
      <c r="H208" s="37">
        <f t="shared" ca="1" si="2"/>
        <v>2993.172</v>
      </c>
    </row>
    <row r="209" spans="1:8" x14ac:dyDescent="0.2">
      <c r="A209" s="17">
        <v>44802</v>
      </c>
      <c r="B209" s="18"/>
      <c r="C209" s="19" t="s">
        <v>250</v>
      </c>
      <c r="D209" s="30" t="s">
        <v>32</v>
      </c>
      <c r="E209" s="18" t="s">
        <v>14</v>
      </c>
      <c r="F209" s="31">
        <v>213</v>
      </c>
      <c r="G209" s="31"/>
      <c r="H209" s="37">
        <f t="shared" ca="1" si="2"/>
        <v>2780.172</v>
      </c>
    </row>
    <row r="210" spans="1:8" x14ac:dyDescent="0.2">
      <c r="A210" s="17">
        <v>44813</v>
      </c>
      <c r="B210" s="18"/>
      <c r="C210" s="19" t="s">
        <v>33</v>
      </c>
      <c r="D210" s="30" t="s">
        <v>40</v>
      </c>
      <c r="E210" s="18" t="s">
        <v>14</v>
      </c>
      <c r="F210" s="31"/>
      <c r="G210" s="31">
        <v>3080.23</v>
      </c>
      <c r="H210" s="37">
        <f t="shared" ca="1" si="2"/>
        <v>5860.402</v>
      </c>
    </row>
    <row r="211" spans="1:8" x14ac:dyDescent="0.2">
      <c r="A211" s="17">
        <v>44813</v>
      </c>
      <c r="B211" s="18"/>
      <c r="C211" s="19" t="s">
        <v>66</v>
      </c>
      <c r="D211" s="30" t="s">
        <v>285</v>
      </c>
      <c r="E211" s="18" t="s">
        <v>14</v>
      </c>
      <c r="F211" s="31">
        <v>100</v>
      </c>
      <c r="G211" s="31"/>
      <c r="H211" s="37">
        <f t="shared" ca="1" si="2"/>
        <v>5760.402</v>
      </c>
    </row>
    <row r="212" spans="1:8" x14ac:dyDescent="0.2">
      <c r="A212" s="17">
        <v>44803</v>
      </c>
      <c r="B212" s="18"/>
      <c r="C212" s="19" t="s">
        <v>33</v>
      </c>
      <c r="D212" s="30" t="s">
        <v>274</v>
      </c>
      <c r="E212" s="18" t="s">
        <v>14</v>
      </c>
      <c r="F212" s="31"/>
      <c r="G212" s="31">
        <v>7.44</v>
      </c>
      <c r="H212" s="37">
        <f t="shared" ca="1" si="2"/>
        <v>5767.8419999999996</v>
      </c>
    </row>
    <row r="213" spans="1:8" x14ac:dyDescent="0.2">
      <c r="A213" s="17">
        <v>44813</v>
      </c>
      <c r="B213" s="18"/>
      <c r="C213" s="19" t="s">
        <v>276</v>
      </c>
      <c r="D213" s="30" t="s">
        <v>60</v>
      </c>
      <c r="E213" s="18" t="s">
        <v>14</v>
      </c>
      <c r="F213" s="31">
        <v>82</v>
      </c>
      <c r="G213" s="31"/>
      <c r="H213" s="37">
        <f t="shared" ca="1" si="2"/>
        <v>5685.8419999999996</v>
      </c>
    </row>
    <row r="214" spans="1:8" x14ac:dyDescent="0.2">
      <c r="A214" s="17">
        <v>44813</v>
      </c>
      <c r="B214" s="18"/>
      <c r="C214" s="19" t="s">
        <v>242</v>
      </c>
      <c r="D214" s="30" t="s">
        <v>39</v>
      </c>
      <c r="E214" s="18" t="s">
        <v>14</v>
      </c>
      <c r="F214" s="31">
        <v>121</v>
      </c>
      <c r="G214" s="31"/>
      <c r="H214" s="37">
        <f t="shared" ca="1" si="2"/>
        <v>5564.8419999999996</v>
      </c>
    </row>
    <row r="215" spans="1:8" x14ac:dyDescent="0.2">
      <c r="A215" s="17">
        <v>44813</v>
      </c>
      <c r="B215" s="18"/>
      <c r="C215" s="19" t="s">
        <v>31</v>
      </c>
      <c r="D215" s="30" t="s">
        <v>64</v>
      </c>
      <c r="E215" s="18" t="s">
        <v>14</v>
      </c>
      <c r="F215" s="31">
        <v>545.78</v>
      </c>
      <c r="G215" s="31"/>
      <c r="H215" s="37">
        <f t="shared" ca="1" si="2"/>
        <v>5019.0619999999999</v>
      </c>
    </row>
    <row r="216" spans="1:8" x14ac:dyDescent="0.2">
      <c r="A216" s="17">
        <v>44813</v>
      </c>
      <c r="B216" s="18"/>
      <c r="C216" s="19" t="s">
        <v>46</v>
      </c>
      <c r="D216" s="30" t="s">
        <v>47</v>
      </c>
      <c r="E216" s="18" t="s">
        <v>14</v>
      </c>
      <c r="F216" s="31">
        <v>163.52000000000001</v>
      </c>
      <c r="G216" s="31"/>
      <c r="H216" s="37">
        <f t="shared" ca="1" si="2"/>
        <v>4855.5419999999995</v>
      </c>
    </row>
    <row r="217" spans="1:8" x14ac:dyDescent="0.2">
      <c r="A217" s="17">
        <v>44813</v>
      </c>
      <c r="B217" s="18"/>
      <c r="C217" s="19" t="s">
        <v>271</v>
      </c>
      <c r="D217" s="30" t="s">
        <v>47</v>
      </c>
      <c r="E217" s="18" t="s">
        <v>14</v>
      </c>
      <c r="F217" s="31">
        <v>6597.23</v>
      </c>
      <c r="G217" s="31"/>
      <c r="H217" s="37">
        <f t="shared" ca="1" si="2"/>
        <v>-1741.6880000000001</v>
      </c>
    </row>
    <row r="218" spans="1:8" x14ac:dyDescent="0.2">
      <c r="A218" s="17">
        <v>44813</v>
      </c>
      <c r="B218" s="18"/>
      <c r="C218" s="19" t="s">
        <v>52</v>
      </c>
      <c r="D218" s="30"/>
      <c r="E218" s="18" t="s">
        <v>14</v>
      </c>
      <c r="F218" s="31"/>
      <c r="G218" s="31">
        <v>1800</v>
      </c>
      <c r="H218" s="37">
        <f t="shared" ca="1" si="2"/>
        <v>58.311999999999898</v>
      </c>
    </row>
    <row r="219" spans="1:8" x14ac:dyDescent="0.2">
      <c r="A219" s="17">
        <v>44819</v>
      </c>
      <c r="B219" s="18"/>
      <c r="C219" s="19" t="s">
        <v>33</v>
      </c>
      <c r="D219" s="30" t="s">
        <v>34</v>
      </c>
      <c r="E219" s="18" t="s">
        <v>14</v>
      </c>
      <c r="F219" s="31">
        <v>143</v>
      </c>
      <c r="G219" s="31"/>
      <c r="H219" s="37">
        <f t="shared" ca="1" si="2"/>
        <v>-84.688000000000102</v>
      </c>
    </row>
    <row r="220" spans="1:8" x14ac:dyDescent="0.2">
      <c r="A220" s="17">
        <v>44827</v>
      </c>
      <c r="B220" s="18"/>
      <c r="C220" s="19" t="s">
        <v>33</v>
      </c>
      <c r="D220" s="30" t="s">
        <v>40</v>
      </c>
      <c r="E220" s="18" t="s">
        <v>14</v>
      </c>
      <c r="F220" s="31"/>
      <c r="G220" s="31">
        <v>3080.22</v>
      </c>
      <c r="H220" s="37">
        <f t="shared" ca="1" si="2"/>
        <v>2995.5319999999997</v>
      </c>
    </row>
    <row r="221" spans="1:8" x14ac:dyDescent="0.2">
      <c r="A221" s="17">
        <v>44827</v>
      </c>
      <c r="B221" s="18"/>
      <c r="C221" s="19" t="s">
        <v>36</v>
      </c>
      <c r="D221" s="30" t="s">
        <v>278</v>
      </c>
      <c r="E221" s="18" t="s">
        <v>14</v>
      </c>
      <c r="F221" s="31">
        <v>397.43</v>
      </c>
      <c r="G221" s="31"/>
      <c r="H221" s="37">
        <f t="shared" ca="1" si="2"/>
        <v>2598.1019999999999</v>
      </c>
    </row>
    <row r="222" spans="1:8" x14ac:dyDescent="0.2">
      <c r="A222" s="17">
        <v>44827</v>
      </c>
      <c r="B222" s="18"/>
      <c r="C222" s="19" t="s">
        <v>27</v>
      </c>
      <c r="D222" s="30" t="s">
        <v>30</v>
      </c>
      <c r="E222" s="18" t="s">
        <v>14</v>
      </c>
      <c r="F222" s="31">
        <v>146.01</v>
      </c>
      <c r="G222" s="31"/>
      <c r="H222" s="37">
        <f t="shared" ca="1" si="2"/>
        <v>2452.0919999999996</v>
      </c>
    </row>
    <row r="223" spans="1:8" x14ac:dyDescent="0.2">
      <c r="A223" s="17">
        <v>44827</v>
      </c>
      <c r="B223" s="18"/>
      <c r="C223" s="19" t="s">
        <v>259</v>
      </c>
      <c r="D223" s="30" t="s">
        <v>38</v>
      </c>
      <c r="E223" s="18" t="s">
        <v>14</v>
      </c>
      <c r="F223" s="31">
        <v>79.989999999999995</v>
      </c>
      <c r="G223" s="31"/>
      <c r="H223" s="37">
        <f t="shared" ca="1" si="2"/>
        <v>2372.1019999999999</v>
      </c>
    </row>
    <row r="224" spans="1:8" x14ac:dyDescent="0.2">
      <c r="A224" s="17">
        <v>44834</v>
      </c>
      <c r="B224" s="18"/>
      <c r="C224" s="19" t="s">
        <v>28</v>
      </c>
      <c r="D224" s="30" t="s">
        <v>55</v>
      </c>
      <c r="E224" s="18" t="s">
        <v>14</v>
      </c>
      <c r="F224" s="31">
        <v>1225.93</v>
      </c>
      <c r="G224" s="31"/>
      <c r="H224" s="37">
        <f t="shared" ca="1" si="2"/>
        <v>1146.1719999999998</v>
      </c>
    </row>
    <row r="225" spans="1:8" x14ac:dyDescent="0.2">
      <c r="A225" s="17">
        <v>44834</v>
      </c>
      <c r="B225" s="18"/>
      <c r="C225" s="19" t="s">
        <v>29</v>
      </c>
      <c r="D225" s="30" t="s">
        <v>45</v>
      </c>
      <c r="E225" s="18" t="s">
        <v>14</v>
      </c>
      <c r="F225" s="31">
        <v>198.84</v>
      </c>
      <c r="G225" s="31"/>
      <c r="H225" s="37">
        <f t="shared" ca="1" si="2"/>
        <v>947.33199999999977</v>
      </c>
    </row>
    <row r="226" spans="1:8" x14ac:dyDescent="0.2">
      <c r="A226" s="17">
        <v>44838</v>
      </c>
      <c r="B226" s="18">
        <v>1398</v>
      </c>
      <c r="C226" s="19" t="s">
        <v>286</v>
      </c>
      <c r="D226" s="30" t="s">
        <v>287</v>
      </c>
      <c r="E226" s="18" t="s">
        <v>14</v>
      </c>
      <c r="F226" s="31">
        <v>26</v>
      </c>
      <c r="G226" s="31"/>
      <c r="H226" s="37">
        <f t="shared" ca="1" si="2"/>
        <v>921.33199999999977</v>
      </c>
    </row>
    <row r="227" spans="1:8" x14ac:dyDescent="0.2">
      <c r="A227" s="17">
        <v>44838</v>
      </c>
      <c r="B227" s="18">
        <v>1399</v>
      </c>
      <c r="C227" s="19" t="s">
        <v>288</v>
      </c>
      <c r="D227" s="30" t="s">
        <v>289</v>
      </c>
      <c r="E227" s="18" t="s">
        <v>14</v>
      </c>
      <c r="F227" s="31">
        <v>25</v>
      </c>
      <c r="G227" s="31"/>
      <c r="H227" s="37">
        <f t="shared" ca="1" si="2"/>
        <v>896.33199999999977</v>
      </c>
    </row>
    <row r="228" spans="1:8" x14ac:dyDescent="0.2">
      <c r="A228" s="17">
        <v>44838</v>
      </c>
      <c r="B228" s="18"/>
      <c r="C228" s="19" t="s">
        <v>33</v>
      </c>
      <c r="D228" s="30" t="s">
        <v>290</v>
      </c>
      <c r="E228" s="18" t="s">
        <v>14</v>
      </c>
      <c r="F228" s="31"/>
      <c r="G228" s="31">
        <v>50</v>
      </c>
      <c r="H228" s="37">
        <f t="shared" ca="1" si="2"/>
        <v>946.33199999999977</v>
      </c>
    </row>
    <row r="229" spans="1:8" x14ac:dyDescent="0.2">
      <c r="A229" s="17">
        <v>44838</v>
      </c>
      <c r="B229" s="18"/>
      <c r="C229" s="19" t="s">
        <v>33</v>
      </c>
      <c r="D229" s="30" t="s">
        <v>290</v>
      </c>
      <c r="E229" s="18" t="s">
        <v>14</v>
      </c>
      <c r="F229" s="31"/>
      <c r="G229" s="31">
        <v>50</v>
      </c>
      <c r="H229" s="37">
        <f t="shared" ca="1" si="2"/>
        <v>996.33199999999977</v>
      </c>
    </row>
    <row r="230" spans="1:8" x14ac:dyDescent="0.2">
      <c r="A230" s="17">
        <v>44838</v>
      </c>
      <c r="B230" s="18"/>
      <c r="C230" s="19" t="s">
        <v>33</v>
      </c>
      <c r="D230" s="30" t="s">
        <v>245</v>
      </c>
      <c r="E230" s="18" t="s">
        <v>14</v>
      </c>
      <c r="F230" s="31"/>
      <c r="G230" s="31">
        <v>3</v>
      </c>
      <c r="H230" s="37">
        <f t="shared" ca="1" si="2"/>
        <v>999.33199999999977</v>
      </c>
    </row>
    <row r="231" spans="1:8" x14ac:dyDescent="0.2">
      <c r="A231" s="17">
        <v>44838</v>
      </c>
      <c r="B231" s="18"/>
      <c r="C231" s="19" t="s">
        <v>66</v>
      </c>
      <c r="D231" s="30" t="s">
        <v>290</v>
      </c>
      <c r="E231" s="18" t="s">
        <v>14</v>
      </c>
      <c r="F231" s="31">
        <v>50</v>
      </c>
      <c r="G231" s="31"/>
      <c r="H231" s="37">
        <f t="shared" ca="1" si="2"/>
        <v>949.33199999999977</v>
      </c>
    </row>
    <row r="232" spans="1:8" x14ac:dyDescent="0.2">
      <c r="A232" s="17">
        <v>44841</v>
      </c>
      <c r="B232" s="18"/>
      <c r="C232" s="19" t="s">
        <v>33</v>
      </c>
      <c r="D232" s="30" t="s">
        <v>40</v>
      </c>
      <c r="E232" s="18" t="s">
        <v>14</v>
      </c>
      <c r="F232" s="31"/>
      <c r="G232" s="31">
        <v>3080.23</v>
      </c>
      <c r="H232" s="37">
        <f t="shared" ca="1" si="2"/>
        <v>4029.5619999999999</v>
      </c>
    </row>
    <row r="233" spans="1:8" x14ac:dyDescent="0.2">
      <c r="A233" s="17">
        <v>44841</v>
      </c>
      <c r="B233" s="18"/>
      <c r="C233" s="19" t="s">
        <v>66</v>
      </c>
      <c r="D233" s="30" t="s">
        <v>291</v>
      </c>
      <c r="E233" s="18" t="s">
        <v>14</v>
      </c>
      <c r="F233" s="31">
        <v>25</v>
      </c>
      <c r="G233" s="31"/>
      <c r="H233" s="37">
        <f t="shared" ca="1" si="2"/>
        <v>4004.5619999999999</v>
      </c>
    </row>
    <row r="234" spans="1:8" x14ac:dyDescent="0.2">
      <c r="A234" s="17">
        <v>44841</v>
      </c>
      <c r="B234" s="18"/>
      <c r="C234" s="19" t="s">
        <v>59</v>
      </c>
      <c r="D234" s="30" t="s">
        <v>60</v>
      </c>
      <c r="E234" s="18" t="s">
        <v>14</v>
      </c>
      <c r="F234" s="31">
        <v>82</v>
      </c>
      <c r="G234" s="31"/>
      <c r="H234" s="37">
        <f t="shared" ca="1" si="2"/>
        <v>3922.5619999999999</v>
      </c>
    </row>
    <row r="235" spans="1:8" x14ac:dyDescent="0.2">
      <c r="A235" s="17">
        <v>44841</v>
      </c>
      <c r="B235" s="18"/>
      <c r="C235" s="19" t="s">
        <v>242</v>
      </c>
      <c r="D235" s="30" t="s">
        <v>39</v>
      </c>
      <c r="E235" s="18" t="s">
        <v>14</v>
      </c>
      <c r="F235" s="31">
        <v>121</v>
      </c>
      <c r="G235" s="31"/>
      <c r="H235" s="37">
        <f t="shared" ca="1" si="2"/>
        <v>3801.5619999999999</v>
      </c>
    </row>
    <row r="236" spans="1:8" x14ac:dyDescent="0.2">
      <c r="A236" s="17">
        <v>44841</v>
      </c>
      <c r="B236" s="18"/>
      <c r="C236" s="19" t="s">
        <v>31</v>
      </c>
      <c r="D236" s="30" t="s">
        <v>64</v>
      </c>
      <c r="E236" s="18" t="s">
        <v>14</v>
      </c>
      <c r="F236" s="31">
        <v>545.78</v>
      </c>
      <c r="G236" s="31"/>
      <c r="H236" s="37">
        <f t="shared" ca="1" si="2"/>
        <v>3255.7820000000002</v>
      </c>
    </row>
    <row r="237" spans="1:8" x14ac:dyDescent="0.2">
      <c r="A237" s="17">
        <v>44841</v>
      </c>
      <c r="B237" s="18"/>
      <c r="C237" s="19" t="s">
        <v>46</v>
      </c>
      <c r="D237" s="30" t="s">
        <v>47</v>
      </c>
      <c r="E237" s="18" t="s">
        <v>14</v>
      </c>
      <c r="F237" s="31">
        <v>0.96</v>
      </c>
      <c r="G237" s="31"/>
      <c r="H237" s="37">
        <f t="shared" ca="1" si="2"/>
        <v>3254.8220000000001</v>
      </c>
    </row>
    <row r="238" spans="1:8" x14ac:dyDescent="0.2">
      <c r="A238" s="17">
        <v>44841</v>
      </c>
      <c r="B238" s="18"/>
      <c r="C238" s="19" t="s">
        <v>280</v>
      </c>
      <c r="D238" s="30" t="s">
        <v>47</v>
      </c>
      <c r="E238" s="18" t="s">
        <v>14</v>
      </c>
      <c r="F238" s="31">
        <v>3920.11</v>
      </c>
      <c r="G238" s="31"/>
      <c r="H238" s="37">
        <f t="shared" ca="1" si="2"/>
        <v>-665.28800000000001</v>
      </c>
    </row>
    <row r="239" spans="1:8" x14ac:dyDescent="0.2">
      <c r="A239" s="17">
        <v>44841</v>
      </c>
      <c r="B239" s="18"/>
      <c r="C239" s="19" t="s">
        <v>33</v>
      </c>
      <c r="D239" s="30" t="s">
        <v>52</v>
      </c>
      <c r="E239" s="18" t="s">
        <v>14</v>
      </c>
      <c r="F239" s="31"/>
      <c r="G239" s="31">
        <v>900</v>
      </c>
      <c r="H239" s="37">
        <f t="shared" ca="1" si="2"/>
        <v>234.71199999999999</v>
      </c>
    </row>
    <row r="240" spans="1:8" x14ac:dyDescent="0.2">
      <c r="A240" s="17">
        <v>44844</v>
      </c>
      <c r="B240" s="18"/>
      <c r="C240" s="19" t="s">
        <v>250</v>
      </c>
      <c r="D240" s="30" t="s">
        <v>32</v>
      </c>
      <c r="E240" s="18" t="s">
        <v>14</v>
      </c>
      <c r="F240" s="31">
        <v>337</v>
      </c>
      <c r="G240" s="31"/>
      <c r="H240" s="37">
        <f t="shared" ca="1" si="2"/>
        <v>-102.28800000000001</v>
      </c>
    </row>
    <row r="241" spans="1:8" x14ac:dyDescent="0.2">
      <c r="A241" s="17">
        <v>44844</v>
      </c>
      <c r="B241" s="18"/>
      <c r="C241" s="19" t="s">
        <v>66</v>
      </c>
      <c r="D241" s="30" t="s">
        <v>292</v>
      </c>
      <c r="E241" s="18" t="s">
        <v>14</v>
      </c>
      <c r="F241" s="31"/>
      <c r="G241" s="31">
        <v>36</v>
      </c>
      <c r="H241" s="37">
        <f t="shared" ca="1" si="2"/>
        <v>-66.288000000000011</v>
      </c>
    </row>
    <row r="242" spans="1:8" x14ac:dyDescent="0.2">
      <c r="A242" s="17">
        <v>44844</v>
      </c>
      <c r="B242" s="18"/>
      <c r="C242" s="19" t="s">
        <v>66</v>
      </c>
      <c r="D242" s="30" t="s">
        <v>293</v>
      </c>
      <c r="E242" s="18" t="s">
        <v>14</v>
      </c>
      <c r="F242" s="31"/>
      <c r="G242" s="31">
        <v>45</v>
      </c>
      <c r="H242" s="37">
        <f t="shared" ca="1" si="2"/>
        <v>-21.288000000000011</v>
      </c>
    </row>
    <row r="243" spans="1:8" x14ac:dyDescent="0.2">
      <c r="A243" s="17">
        <v>44855</v>
      </c>
      <c r="B243" s="18"/>
      <c r="C243" s="19" t="s">
        <v>33</v>
      </c>
      <c r="D243" s="30" t="s">
        <v>40</v>
      </c>
      <c r="E243" s="18" t="s">
        <v>14</v>
      </c>
      <c r="F243" s="31"/>
      <c r="G243" s="31">
        <v>3080.21</v>
      </c>
      <c r="H243" s="37">
        <f t="shared" ca="1" si="2"/>
        <v>3058.922</v>
      </c>
    </row>
    <row r="244" spans="1:8" x14ac:dyDescent="0.2">
      <c r="A244" s="17">
        <v>44855</v>
      </c>
      <c r="B244" s="18"/>
      <c r="C244" s="19" t="s">
        <v>36</v>
      </c>
      <c r="D244" s="30" t="s">
        <v>278</v>
      </c>
      <c r="E244" s="18" t="s">
        <v>14</v>
      </c>
      <c r="F244" s="31">
        <v>397.43</v>
      </c>
      <c r="G244" s="31"/>
      <c r="H244" s="37">
        <f t="shared" ca="1" si="2"/>
        <v>2661.4920000000002</v>
      </c>
    </row>
    <row r="245" spans="1:8" x14ac:dyDescent="0.2">
      <c r="A245" s="17">
        <v>44855</v>
      </c>
      <c r="B245" s="18"/>
      <c r="C245" s="19" t="s">
        <v>27</v>
      </c>
      <c r="D245" s="30" t="s">
        <v>30</v>
      </c>
      <c r="E245" s="18" t="s">
        <v>14</v>
      </c>
      <c r="F245" s="31">
        <v>94.74</v>
      </c>
      <c r="G245" s="31"/>
      <c r="H245" s="37">
        <f t="shared" ca="1" si="2"/>
        <v>2566.7520000000004</v>
      </c>
    </row>
    <row r="246" spans="1:8" x14ac:dyDescent="0.2">
      <c r="A246" s="17">
        <v>44855</v>
      </c>
      <c r="B246" s="18"/>
      <c r="C246" s="19" t="s">
        <v>259</v>
      </c>
      <c r="D246" s="30" t="s">
        <v>38</v>
      </c>
      <c r="E246" s="18" t="s">
        <v>14</v>
      </c>
      <c r="F246" s="31">
        <v>79.989999999999995</v>
      </c>
      <c r="G246" s="31"/>
      <c r="H246" s="37">
        <f t="shared" ca="1" si="2"/>
        <v>2486.7620000000006</v>
      </c>
    </row>
    <row r="247" spans="1:8" x14ac:dyDescent="0.2">
      <c r="A247" s="17">
        <v>44865</v>
      </c>
      <c r="B247" s="18"/>
      <c r="C247" s="19" t="s">
        <v>29</v>
      </c>
      <c r="D247" s="30" t="s">
        <v>45</v>
      </c>
      <c r="E247" s="18" t="s">
        <v>14</v>
      </c>
      <c r="F247" s="31">
        <v>198.51</v>
      </c>
      <c r="G247" s="31"/>
      <c r="H247" s="37">
        <f t="shared" ca="1" si="2"/>
        <v>2288.2520000000004</v>
      </c>
    </row>
    <row r="248" spans="1:8" x14ac:dyDescent="0.2">
      <c r="A248" s="17">
        <v>44865</v>
      </c>
      <c r="B248" s="18"/>
      <c r="C248" s="19" t="s">
        <v>28</v>
      </c>
      <c r="D248" s="30" t="s">
        <v>55</v>
      </c>
      <c r="E248" s="18" t="s">
        <v>14</v>
      </c>
      <c r="F248" s="31">
        <v>1178.45</v>
      </c>
      <c r="G248" s="31"/>
      <c r="H248" s="37">
        <f t="shared" ca="1" si="2"/>
        <v>1109.8020000000004</v>
      </c>
    </row>
    <row r="249" spans="1:8" x14ac:dyDescent="0.2">
      <c r="A249" s="17">
        <v>44867</v>
      </c>
      <c r="B249" s="18"/>
      <c r="C249" s="19" t="s">
        <v>33</v>
      </c>
      <c r="D249" s="30" t="s">
        <v>34</v>
      </c>
      <c r="E249" s="18" t="s">
        <v>14</v>
      </c>
      <c r="F249" s="31">
        <v>140</v>
      </c>
      <c r="G249" s="31"/>
      <c r="H249" s="37">
        <f t="shared" ca="1" si="2"/>
        <v>969.80200000000036</v>
      </c>
    </row>
    <row r="250" spans="1:8" x14ac:dyDescent="0.2">
      <c r="A250" s="17">
        <v>44869</v>
      </c>
      <c r="B250" s="18"/>
      <c r="C250" s="19" t="s">
        <v>33</v>
      </c>
      <c r="D250" s="30" t="s">
        <v>40</v>
      </c>
      <c r="E250" s="18" t="s">
        <v>14</v>
      </c>
      <c r="F250" s="31"/>
      <c r="G250" s="31">
        <v>3080.23</v>
      </c>
      <c r="H250" s="37">
        <f t="shared" ca="1" si="2"/>
        <v>4050.0320000000002</v>
      </c>
    </row>
    <row r="251" spans="1:8" x14ac:dyDescent="0.2">
      <c r="A251" s="17">
        <v>44869</v>
      </c>
      <c r="B251" s="18"/>
      <c r="C251" s="19" t="s">
        <v>271</v>
      </c>
      <c r="D251" s="30" t="s">
        <v>47</v>
      </c>
      <c r="E251" s="18" t="s">
        <v>14</v>
      </c>
      <c r="F251" s="31">
        <v>3131.31</v>
      </c>
      <c r="G251" s="31"/>
      <c r="H251" s="37">
        <f t="shared" ca="1" si="2"/>
        <v>918.72200000000021</v>
      </c>
    </row>
    <row r="252" spans="1:8" x14ac:dyDescent="0.2">
      <c r="A252" s="17">
        <v>44869</v>
      </c>
      <c r="B252" s="18"/>
      <c r="C252" s="19" t="s">
        <v>276</v>
      </c>
      <c r="D252" s="30" t="s">
        <v>60</v>
      </c>
      <c r="E252" s="18" t="s">
        <v>14</v>
      </c>
      <c r="F252" s="31">
        <v>82</v>
      </c>
      <c r="G252" s="31"/>
      <c r="H252" s="37">
        <f t="shared" ca="1" si="2"/>
        <v>836.72200000000021</v>
      </c>
    </row>
    <row r="253" spans="1:8" x14ac:dyDescent="0.2">
      <c r="A253" s="17">
        <v>44873</v>
      </c>
      <c r="B253" s="18"/>
      <c r="C253" s="19" t="s">
        <v>242</v>
      </c>
      <c r="D253" s="30" t="s">
        <v>39</v>
      </c>
      <c r="E253" s="18" t="s">
        <v>14</v>
      </c>
      <c r="F253" s="31">
        <v>121</v>
      </c>
      <c r="G253" s="31"/>
      <c r="H253" s="37">
        <f t="shared" ca="1" si="2"/>
        <v>715.72200000000021</v>
      </c>
    </row>
    <row r="254" spans="1:8" x14ac:dyDescent="0.2">
      <c r="A254" s="17">
        <v>44876</v>
      </c>
      <c r="B254" s="18"/>
      <c r="C254" s="19" t="s">
        <v>31</v>
      </c>
      <c r="D254" s="30" t="s">
        <v>47</v>
      </c>
      <c r="E254" s="18" t="s">
        <v>14</v>
      </c>
      <c r="F254" s="31">
        <v>48.02</v>
      </c>
      <c r="G254" s="31"/>
      <c r="H254" s="37">
        <f t="shared" ca="1" si="2"/>
        <v>667.70200000000023</v>
      </c>
    </row>
    <row r="255" spans="1:8" x14ac:dyDescent="0.2">
      <c r="A255" s="17">
        <v>44876</v>
      </c>
      <c r="B255" s="18"/>
      <c r="C255" s="19" t="s">
        <v>31</v>
      </c>
      <c r="D255" s="30" t="s">
        <v>64</v>
      </c>
      <c r="E255" s="18" t="s">
        <v>14</v>
      </c>
      <c r="F255" s="31">
        <v>545.78</v>
      </c>
      <c r="G255" s="31"/>
      <c r="H255" s="37">
        <f t="shared" ca="1" si="2"/>
        <v>121.92200000000025</v>
      </c>
    </row>
    <row r="256" spans="1:8" x14ac:dyDescent="0.2">
      <c r="A256" s="17">
        <v>44876</v>
      </c>
      <c r="B256" s="18"/>
      <c r="C256" s="19" t="s">
        <v>46</v>
      </c>
      <c r="D256" s="30" t="s">
        <v>47</v>
      </c>
      <c r="E256" s="18" t="s">
        <v>14</v>
      </c>
      <c r="F256" s="31">
        <v>243.98</v>
      </c>
      <c r="G256" s="31"/>
      <c r="H256" s="37">
        <f t="shared" ca="1" si="2"/>
        <v>-122.05799999999974</v>
      </c>
    </row>
    <row r="257" spans="1:8" x14ac:dyDescent="0.2">
      <c r="A257" s="17">
        <v>44876</v>
      </c>
      <c r="B257" s="18"/>
      <c r="C257" s="19" t="s">
        <v>52</v>
      </c>
      <c r="D257" s="30"/>
      <c r="E257" s="18" t="s">
        <v>14</v>
      </c>
      <c r="F257" s="31"/>
      <c r="G257" s="31">
        <v>500</v>
      </c>
      <c r="H257" s="37">
        <f t="shared" ca="1" si="2"/>
        <v>377.94200000000023</v>
      </c>
    </row>
    <row r="258" spans="1:8" x14ac:dyDescent="0.2">
      <c r="A258" s="17">
        <v>44877</v>
      </c>
      <c r="B258" s="18"/>
      <c r="C258" s="19" t="s">
        <v>250</v>
      </c>
      <c r="D258" s="30" t="s">
        <v>32</v>
      </c>
      <c r="E258" s="18" t="s">
        <v>14</v>
      </c>
      <c r="F258" s="31">
        <v>317</v>
      </c>
      <c r="G258" s="31"/>
      <c r="H258" s="37">
        <f t="shared" ca="1" si="2"/>
        <v>60.942000000000235</v>
      </c>
    </row>
    <row r="259" spans="1:8" x14ac:dyDescent="0.2">
      <c r="A259" s="17">
        <v>44883</v>
      </c>
      <c r="B259" s="18"/>
      <c r="C259" s="19" t="s">
        <v>33</v>
      </c>
      <c r="D259" s="30" t="s">
        <v>40</v>
      </c>
      <c r="E259" s="18" t="s">
        <v>14</v>
      </c>
      <c r="F259" s="31"/>
      <c r="G259" s="31">
        <v>3080.22</v>
      </c>
      <c r="H259" s="37">
        <f t="shared" ca="1" si="2"/>
        <v>3141.1620000000003</v>
      </c>
    </row>
    <row r="260" spans="1:8" x14ac:dyDescent="0.2">
      <c r="A260" s="17">
        <v>44880</v>
      </c>
      <c r="B260" s="18"/>
      <c r="C260" s="19" t="s">
        <v>66</v>
      </c>
      <c r="D260" s="30" t="s">
        <v>294</v>
      </c>
      <c r="E260" s="18" t="s">
        <v>14</v>
      </c>
      <c r="F260" s="31"/>
      <c r="G260" s="31">
        <v>55.5</v>
      </c>
      <c r="H260" s="37">
        <f t="shared" ca="1" si="2"/>
        <v>3196.6620000000003</v>
      </c>
    </row>
    <row r="261" spans="1:8" x14ac:dyDescent="0.2">
      <c r="A261" s="17">
        <v>44883</v>
      </c>
      <c r="B261" s="18"/>
      <c r="C261" s="19" t="s">
        <v>36</v>
      </c>
      <c r="D261" s="30" t="s">
        <v>278</v>
      </c>
      <c r="E261" s="18" t="s">
        <v>14</v>
      </c>
      <c r="F261" s="31">
        <v>397.43</v>
      </c>
      <c r="G261" s="31"/>
      <c r="H261" s="37">
        <f t="shared" ca="1" si="2"/>
        <v>2799.2320000000004</v>
      </c>
    </row>
    <row r="262" spans="1:8" x14ac:dyDescent="0.2">
      <c r="A262" s="17">
        <v>44888</v>
      </c>
      <c r="B262" s="18">
        <v>1400</v>
      </c>
      <c r="C262" s="19" t="s">
        <v>295</v>
      </c>
      <c r="D262" s="30"/>
      <c r="E262" s="18" t="s">
        <v>14</v>
      </c>
      <c r="F262" s="31">
        <v>35</v>
      </c>
      <c r="G262" s="31"/>
      <c r="H262" s="37">
        <f t="shared" ca="1" si="2"/>
        <v>2764.2320000000004</v>
      </c>
    </row>
    <row r="263" spans="1:8" x14ac:dyDescent="0.2">
      <c r="A263" s="17">
        <v>44890</v>
      </c>
      <c r="B263" s="18"/>
      <c r="C263" s="19" t="s">
        <v>27</v>
      </c>
      <c r="D263" s="30" t="s">
        <v>30</v>
      </c>
      <c r="E263" s="18" t="s">
        <v>14</v>
      </c>
      <c r="F263" s="31">
        <v>97.39</v>
      </c>
      <c r="G263" s="31"/>
      <c r="H263" s="37">
        <f t="shared" ca="1" si="2"/>
        <v>2666.8420000000006</v>
      </c>
    </row>
    <row r="264" spans="1:8" x14ac:dyDescent="0.2">
      <c r="A264" s="17">
        <v>44890</v>
      </c>
      <c r="B264" s="18"/>
      <c r="C264" s="19" t="s">
        <v>259</v>
      </c>
      <c r="D264" s="30" t="s">
        <v>38</v>
      </c>
      <c r="E264" s="18" t="s">
        <v>14</v>
      </c>
      <c r="F264" s="31">
        <v>79.989999999999995</v>
      </c>
      <c r="G264" s="31"/>
      <c r="H264" s="37">
        <f t="shared" ca="1" si="2"/>
        <v>2586.8520000000008</v>
      </c>
    </row>
    <row r="265" spans="1:8" x14ac:dyDescent="0.2">
      <c r="A265" s="17">
        <v>44893</v>
      </c>
      <c r="B265" s="18"/>
      <c r="C265" s="19" t="s">
        <v>29</v>
      </c>
      <c r="D265" s="30" t="s">
        <v>45</v>
      </c>
      <c r="E265" s="18" t="s">
        <v>14</v>
      </c>
      <c r="F265" s="31">
        <v>198.51</v>
      </c>
      <c r="G265" s="31"/>
      <c r="H265" s="37">
        <f t="shared" ca="1" si="2"/>
        <v>2388.3420000000006</v>
      </c>
    </row>
    <row r="266" spans="1:8" x14ac:dyDescent="0.2">
      <c r="A266" s="17">
        <v>44893</v>
      </c>
      <c r="B266" s="18"/>
      <c r="C266" s="19" t="s">
        <v>28</v>
      </c>
      <c r="D266" s="30" t="s">
        <v>55</v>
      </c>
      <c r="E266" s="18" t="s">
        <v>14</v>
      </c>
      <c r="F266" s="31">
        <v>1178.45</v>
      </c>
      <c r="G266" s="31"/>
      <c r="H266" s="37">
        <f t="shared" ca="1" si="2"/>
        <v>1209.8920000000005</v>
      </c>
    </row>
    <row r="267" spans="1:8" x14ac:dyDescent="0.2">
      <c r="A267" s="17">
        <v>44897</v>
      </c>
      <c r="B267" s="18"/>
      <c r="C267" s="19" t="s">
        <v>33</v>
      </c>
      <c r="D267" s="30" t="s">
        <v>40</v>
      </c>
      <c r="E267" s="18" t="s">
        <v>14</v>
      </c>
      <c r="F267" s="31"/>
      <c r="G267" s="31">
        <v>3080.23</v>
      </c>
      <c r="H267" s="37">
        <f t="shared" ca="1" si="2"/>
        <v>4290.1220000000003</v>
      </c>
    </row>
    <row r="268" spans="1:8" x14ac:dyDescent="0.2">
      <c r="A268" s="17">
        <v>44897</v>
      </c>
      <c r="B268" s="18"/>
      <c r="C268" s="19" t="s">
        <v>59</v>
      </c>
      <c r="D268" s="30" t="s">
        <v>60</v>
      </c>
      <c r="E268" s="18" t="s">
        <v>14</v>
      </c>
      <c r="F268" s="31">
        <v>82</v>
      </c>
      <c r="G268" s="31"/>
      <c r="H268" s="37">
        <f t="shared" ca="1" si="2"/>
        <v>4208.1220000000003</v>
      </c>
    </row>
    <row r="269" spans="1:8" x14ac:dyDescent="0.2">
      <c r="A269" s="17">
        <v>44897</v>
      </c>
      <c r="B269" s="18"/>
      <c r="C269" s="19" t="s">
        <v>242</v>
      </c>
      <c r="D269" s="30" t="s">
        <v>39</v>
      </c>
      <c r="E269" s="18" t="s">
        <v>14</v>
      </c>
      <c r="F269" s="31">
        <v>121</v>
      </c>
      <c r="G269" s="31"/>
      <c r="H269" s="37">
        <f t="shared" ca="1" si="2"/>
        <v>4087.1220000000003</v>
      </c>
    </row>
    <row r="270" spans="1:8" x14ac:dyDescent="0.2">
      <c r="A270" s="17">
        <v>44903</v>
      </c>
      <c r="B270" s="18"/>
      <c r="C270" s="19" t="s">
        <v>271</v>
      </c>
      <c r="D270" s="30" t="s">
        <v>47</v>
      </c>
      <c r="E270" s="18" t="s">
        <v>14</v>
      </c>
      <c r="F270" s="31">
        <v>7245.52</v>
      </c>
      <c r="G270" s="31"/>
      <c r="H270" s="37">
        <f t="shared" ca="1" si="2"/>
        <v>-3158.3980000000001</v>
      </c>
    </row>
    <row r="271" spans="1:8" x14ac:dyDescent="0.2">
      <c r="A271" s="17">
        <v>44903</v>
      </c>
      <c r="B271" s="18"/>
      <c r="C271" s="19" t="s">
        <v>52</v>
      </c>
      <c r="D271" s="30"/>
      <c r="E271" s="18" t="s">
        <v>14</v>
      </c>
      <c r="F271" s="31"/>
      <c r="G271" s="31">
        <v>2500</v>
      </c>
      <c r="H271" s="37">
        <f t="shared" ca="1" si="2"/>
        <v>-658.39800000000014</v>
      </c>
    </row>
    <row r="272" spans="1:8" x14ac:dyDescent="0.2">
      <c r="A272" s="17">
        <v>44903</v>
      </c>
      <c r="B272" s="18"/>
      <c r="C272" s="19" t="s">
        <v>296</v>
      </c>
      <c r="D272" s="30" t="s">
        <v>297</v>
      </c>
      <c r="E272" s="18" t="s">
        <v>14</v>
      </c>
      <c r="F272" s="31"/>
      <c r="G272" s="31">
        <v>1000.07</v>
      </c>
      <c r="H272" s="37">
        <f t="shared" ca="1" si="2"/>
        <v>341.67199999999991</v>
      </c>
    </row>
    <row r="273" spans="1:8" x14ac:dyDescent="0.2">
      <c r="A273" s="17">
        <v>44905</v>
      </c>
      <c r="B273" s="18"/>
      <c r="C273" s="19" t="s">
        <v>298</v>
      </c>
      <c r="D273" s="30" t="s">
        <v>32</v>
      </c>
      <c r="E273" s="18" t="s">
        <v>14</v>
      </c>
      <c r="F273" s="31">
        <v>300</v>
      </c>
      <c r="G273" s="31"/>
      <c r="H273" s="37">
        <f t="shared" ca="1" si="2"/>
        <v>41.671999999999912</v>
      </c>
    </row>
    <row r="274" spans="1:8" x14ac:dyDescent="0.2">
      <c r="A274" s="17">
        <v>44911</v>
      </c>
      <c r="B274" s="18"/>
      <c r="C274" s="19" t="s">
        <v>33</v>
      </c>
      <c r="D274" s="30" t="s">
        <v>40</v>
      </c>
      <c r="E274" s="18" t="s">
        <v>14</v>
      </c>
      <c r="F274" s="31"/>
      <c r="G274" s="31">
        <v>3080.23</v>
      </c>
      <c r="H274" s="37">
        <f t="shared" ca="1" si="2"/>
        <v>3121.902</v>
      </c>
    </row>
    <row r="275" spans="1:8" x14ac:dyDescent="0.2">
      <c r="A275" s="17">
        <v>44908</v>
      </c>
      <c r="B275" s="18"/>
      <c r="C275" s="19" t="s">
        <v>66</v>
      </c>
      <c r="D275" s="30" t="s">
        <v>297</v>
      </c>
      <c r="E275" s="18" t="s">
        <v>14</v>
      </c>
      <c r="F275" s="31"/>
      <c r="G275" s="31">
        <v>396.12</v>
      </c>
      <c r="H275" s="37">
        <f t="shared" ca="1" si="2"/>
        <v>3518.0219999999999</v>
      </c>
    </row>
    <row r="276" spans="1:8" x14ac:dyDescent="0.2">
      <c r="A276" s="17">
        <v>44911</v>
      </c>
      <c r="B276" s="18"/>
      <c r="C276" s="19" t="s">
        <v>31</v>
      </c>
      <c r="D276" s="30" t="s">
        <v>64</v>
      </c>
      <c r="E276" s="18" t="s">
        <v>14</v>
      </c>
      <c r="F276" s="31">
        <v>545.78</v>
      </c>
      <c r="G276" s="31"/>
      <c r="H276" s="37">
        <f t="shared" ca="1" si="2"/>
        <v>2972.2420000000002</v>
      </c>
    </row>
    <row r="277" spans="1:8" x14ac:dyDescent="0.2">
      <c r="A277" s="17">
        <v>44911</v>
      </c>
      <c r="B277" s="18"/>
      <c r="C277" s="19" t="s">
        <v>46</v>
      </c>
      <c r="D277" s="30" t="s">
        <v>47</v>
      </c>
      <c r="E277" s="18" t="s">
        <v>14</v>
      </c>
      <c r="F277" s="31">
        <v>407.78</v>
      </c>
      <c r="G277" s="31"/>
      <c r="H277" s="37">
        <f t="shared" ca="1" si="2"/>
        <v>2564.4620000000004</v>
      </c>
    </row>
    <row r="278" spans="1:8" x14ac:dyDescent="0.2">
      <c r="A278" s="17">
        <v>44911</v>
      </c>
      <c r="B278" s="18"/>
      <c r="C278" s="19" t="s">
        <v>33</v>
      </c>
      <c r="D278" s="30" t="s">
        <v>50</v>
      </c>
      <c r="E278" s="18" t="s">
        <v>14</v>
      </c>
      <c r="F278" s="31">
        <v>85.4</v>
      </c>
      <c r="G278" s="31"/>
      <c r="H278" s="37">
        <f t="shared" ca="1" si="2"/>
        <v>2479.0620000000004</v>
      </c>
    </row>
    <row r="279" spans="1:8" x14ac:dyDescent="0.2">
      <c r="A279" s="17">
        <v>44917</v>
      </c>
      <c r="B279" s="18"/>
      <c r="C279" s="19" t="s">
        <v>36</v>
      </c>
      <c r="D279" s="30" t="s">
        <v>278</v>
      </c>
      <c r="E279" s="18" t="s">
        <v>14</v>
      </c>
      <c r="F279" s="31">
        <v>397.43</v>
      </c>
      <c r="G279" s="31"/>
      <c r="H279" s="37">
        <f t="shared" ca="1" si="2"/>
        <v>2081.6320000000005</v>
      </c>
    </row>
    <row r="280" spans="1:8" x14ac:dyDescent="0.2">
      <c r="A280" s="17">
        <v>44917</v>
      </c>
      <c r="B280" s="18"/>
      <c r="C280" s="19" t="s">
        <v>58</v>
      </c>
      <c r="D280" s="30" t="s">
        <v>30</v>
      </c>
      <c r="E280" s="18" t="s">
        <v>14</v>
      </c>
      <c r="F280" s="31">
        <v>76.02</v>
      </c>
      <c r="G280" s="31"/>
      <c r="H280" s="37">
        <f t="shared" ca="1" si="2"/>
        <v>2005.6120000000005</v>
      </c>
    </row>
    <row r="281" spans="1:8" x14ac:dyDescent="0.2">
      <c r="A281" s="17">
        <v>44917</v>
      </c>
      <c r="B281" s="18"/>
      <c r="C281" s="19" t="s">
        <v>259</v>
      </c>
      <c r="D281" s="30" t="s">
        <v>38</v>
      </c>
      <c r="E281" s="18" t="s">
        <v>14</v>
      </c>
      <c r="F281" s="31">
        <v>79.989999999999995</v>
      </c>
      <c r="G281" s="31"/>
      <c r="H281" s="37">
        <f t="shared" ca="1" si="2"/>
        <v>1925.6220000000005</v>
      </c>
    </row>
    <row r="282" spans="1:8" x14ac:dyDescent="0.2">
      <c r="A282" s="17">
        <v>44915</v>
      </c>
      <c r="B282" s="18"/>
      <c r="C282" s="19" t="s">
        <v>299</v>
      </c>
      <c r="D282" s="30"/>
      <c r="E282" s="18" t="s">
        <v>14</v>
      </c>
      <c r="F282" s="31">
        <v>60</v>
      </c>
      <c r="G282" s="31"/>
      <c r="H282" s="37">
        <f t="shared" ca="1" si="2"/>
        <v>1865.6220000000005</v>
      </c>
    </row>
    <row r="283" spans="1:8" x14ac:dyDescent="0.2">
      <c r="A283" s="17">
        <v>44914</v>
      </c>
      <c r="B283" s="18"/>
      <c r="C283" s="19" t="s">
        <v>300</v>
      </c>
      <c r="D283" s="30" t="s">
        <v>292</v>
      </c>
      <c r="E283" s="18" t="s">
        <v>14</v>
      </c>
      <c r="F283" s="31"/>
      <c r="G283" s="31">
        <v>351.5</v>
      </c>
      <c r="H283" s="37">
        <f t="shared" ca="1" si="2"/>
        <v>2217.1220000000003</v>
      </c>
    </row>
    <row r="284" spans="1:8" x14ac:dyDescent="0.2">
      <c r="A284" s="17">
        <v>44925</v>
      </c>
      <c r="B284" s="18"/>
      <c r="C284" s="19" t="s">
        <v>33</v>
      </c>
      <c r="D284" s="30" t="s">
        <v>40</v>
      </c>
      <c r="E284" s="18" t="s">
        <v>14</v>
      </c>
      <c r="F284" s="31"/>
      <c r="G284" s="31">
        <v>3311.17</v>
      </c>
      <c r="H284" s="37">
        <f t="shared" ca="1" si="2"/>
        <v>5528.2920000000004</v>
      </c>
    </row>
    <row r="285" spans="1:8" x14ac:dyDescent="0.2">
      <c r="A285" s="17">
        <v>44924</v>
      </c>
      <c r="B285" s="18"/>
      <c r="C285" s="19" t="s">
        <v>66</v>
      </c>
      <c r="D285" s="30"/>
      <c r="E285" s="18" t="s">
        <v>14</v>
      </c>
      <c r="F285" s="31">
        <v>30</v>
      </c>
      <c r="G285" s="31"/>
      <c r="H285" s="37">
        <f t="shared" ca="1" si="2"/>
        <v>5498.2920000000004</v>
      </c>
    </row>
    <row r="286" spans="1:8" x14ac:dyDescent="0.2">
      <c r="A286" s="17">
        <v>44922</v>
      </c>
      <c r="B286" s="18"/>
      <c r="C286" s="19" t="s">
        <v>66</v>
      </c>
      <c r="D286" s="30" t="s">
        <v>301</v>
      </c>
      <c r="E286" s="18" t="s">
        <v>14</v>
      </c>
      <c r="F286" s="31">
        <v>200</v>
      </c>
      <c r="G286" s="31"/>
      <c r="H286" s="37">
        <f t="shared" ca="1" si="2"/>
        <v>5298.2920000000004</v>
      </c>
    </row>
    <row r="287" spans="1:8" x14ac:dyDescent="0.2">
      <c r="A287" s="17">
        <v>44922</v>
      </c>
      <c r="B287" s="18"/>
      <c r="C287" s="19" t="s">
        <v>66</v>
      </c>
      <c r="D287" s="30"/>
      <c r="E287" s="18" t="s">
        <v>14</v>
      </c>
      <c r="F287" s="31"/>
      <c r="G287" s="31">
        <v>41.26</v>
      </c>
      <c r="H287" s="37">
        <f t="shared" ca="1" si="2"/>
        <v>5339.5520000000006</v>
      </c>
    </row>
    <row r="288" spans="1:8" x14ac:dyDescent="0.2">
      <c r="A288" s="17">
        <v>44922</v>
      </c>
      <c r="B288" s="18"/>
      <c r="C288" s="19" t="s">
        <v>66</v>
      </c>
      <c r="D288" s="30"/>
      <c r="E288" s="18" t="s">
        <v>14</v>
      </c>
      <c r="F288" s="31"/>
      <c r="G288" s="31">
        <v>48.26</v>
      </c>
      <c r="H288" s="37">
        <f t="shared" ca="1" si="2"/>
        <v>5387.8120000000008</v>
      </c>
    </row>
    <row r="289" spans="1:10" x14ac:dyDescent="0.2">
      <c r="A289" s="17">
        <v>44925</v>
      </c>
      <c r="B289" s="18"/>
      <c r="C289" s="19" t="s">
        <v>28</v>
      </c>
      <c r="D289" s="30" t="s">
        <v>55</v>
      </c>
      <c r="E289" s="18" t="s">
        <v>14</v>
      </c>
      <c r="F289" s="31">
        <v>1178.45</v>
      </c>
      <c r="G289" s="31"/>
      <c r="H289" s="37">
        <f t="shared" ca="1" si="2"/>
        <v>4209.362000000001</v>
      </c>
    </row>
    <row r="290" spans="1:10" x14ac:dyDescent="0.2">
      <c r="A290" s="17">
        <v>44925</v>
      </c>
      <c r="B290" s="18"/>
      <c r="C290" s="19" t="s">
        <v>29</v>
      </c>
      <c r="D290" s="30" t="s">
        <v>45</v>
      </c>
      <c r="E290" s="18" t="s">
        <v>14</v>
      </c>
      <c r="F290" s="31">
        <v>178.2</v>
      </c>
      <c r="G290" s="31"/>
      <c r="H290" s="37">
        <f t="shared" ca="1" si="2"/>
        <v>4031.1620000000012</v>
      </c>
    </row>
    <row r="291" spans="1:10" x14ac:dyDescent="0.2">
      <c r="A291" s="17">
        <v>44929</v>
      </c>
      <c r="B291" s="18"/>
      <c r="C291" s="19" t="s">
        <v>276</v>
      </c>
      <c r="D291" s="30" t="s">
        <v>60</v>
      </c>
      <c r="E291" s="18" t="s">
        <v>14</v>
      </c>
      <c r="F291" s="31">
        <v>100</v>
      </c>
      <c r="G291" s="31"/>
      <c r="H291" s="37">
        <f t="shared" ca="1" si="2"/>
        <v>3931.1620000000012</v>
      </c>
    </row>
    <row r="292" spans="1:10" x14ac:dyDescent="0.2">
      <c r="A292" s="17">
        <v>44932</v>
      </c>
      <c r="B292" s="18"/>
      <c r="C292" s="19" t="s">
        <v>271</v>
      </c>
      <c r="D292" s="30" t="s">
        <v>47</v>
      </c>
      <c r="E292" s="18" t="s">
        <v>14</v>
      </c>
      <c r="F292" s="31">
        <v>4552.38</v>
      </c>
      <c r="G292" s="31"/>
      <c r="H292" s="37">
        <f t="shared" ca="1" si="2"/>
        <v>-621.21799999999894</v>
      </c>
    </row>
    <row r="293" spans="1:10" x14ac:dyDescent="0.2">
      <c r="A293" s="17">
        <v>44932</v>
      </c>
      <c r="B293" s="18"/>
      <c r="C293" s="19" t="s">
        <v>52</v>
      </c>
      <c r="D293" s="30"/>
      <c r="E293" s="18" t="s">
        <v>14</v>
      </c>
      <c r="F293" s="31"/>
      <c r="G293" s="31">
        <v>950</v>
      </c>
      <c r="H293" s="37">
        <f t="shared" ca="1" si="2"/>
        <v>328.78200000000106</v>
      </c>
    </row>
    <row r="294" spans="1:10" x14ac:dyDescent="0.2">
      <c r="A294" s="17">
        <v>44933</v>
      </c>
      <c r="B294" s="18"/>
      <c r="C294" s="19" t="s">
        <v>250</v>
      </c>
      <c r="D294" s="30" t="s">
        <v>32</v>
      </c>
      <c r="E294" s="18" t="s">
        <v>14</v>
      </c>
      <c r="F294" s="31">
        <v>236</v>
      </c>
      <c r="G294" s="31"/>
      <c r="H294" s="37">
        <f t="shared" ca="1" si="2"/>
        <v>92.782000000001062</v>
      </c>
      <c r="J294" s="75"/>
    </row>
    <row r="295" spans="1:10" x14ac:dyDescent="0.2">
      <c r="A295" s="17">
        <v>44936</v>
      </c>
      <c r="B295" s="18"/>
      <c r="C295" s="19" t="s">
        <v>66</v>
      </c>
      <c r="D295" s="30" t="s">
        <v>248</v>
      </c>
      <c r="E295" s="18" t="s">
        <v>14</v>
      </c>
      <c r="F295" s="31"/>
      <c r="G295" s="31">
        <v>20</v>
      </c>
      <c r="H295" s="37">
        <f t="shared" ca="1" si="2"/>
        <v>112.78200000000106</v>
      </c>
    </row>
    <row r="296" spans="1:10" x14ac:dyDescent="0.2">
      <c r="A296" s="17">
        <v>44936</v>
      </c>
      <c r="B296" s="18"/>
      <c r="C296" s="19" t="s">
        <v>66</v>
      </c>
      <c r="D296" s="30" t="s">
        <v>248</v>
      </c>
      <c r="E296" s="18" t="s">
        <v>14</v>
      </c>
      <c r="F296" s="31"/>
      <c r="G296" s="31">
        <v>20</v>
      </c>
      <c r="H296" s="37">
        <f t="shared" ca="1" si="2"/>
        <v>132.78200000000106</v>
      </c>
    </row>
    <row r="297" spans="1:10" x14ac:dyDescent="0.2">
      <c r="A297" s="17">
        <v>44936</v>
      </c>
      <c r="B297" s="18">
        <v>1401</v>
      </c>
      <c r="C297" s="19" t="s">
        <v>302</v>
      </c>
      <c r="D297" s="30" t="s">
        <v>248</v>
      </c>
      <c r="E297" s="18" t="s">
        <v>14</v>
      </c>
      <c r="F297" s="31">
        <v>120</v>
      </c>
      <c r="G297" s="31"/>
      <c r="H297" s="37">
        <f t="shared" ca="1" si="2"/>
        <v>12.782000000001062</v>
      </c>
    </row>
    <row r="298" spans="1:10" x14ac:dyDescent="0.2">
      <c r="A298" s="17">
        <v>44939</v>
      </c>
      <c r="B298" s="18"/>
      <c r="C298" s="19" t="s">
        <v>33</v>
      </c>
      <c r="D298" s="30" t="s">
        <v>40</v>
      </c>
      <c r="E298" s="18" t="s">
        <v>14</v>
      </c>
      <c r="F298" s="31"/>
      <c r="G298" s="31">
        <v>2957.64</v>
      </c>
      <c r="H298" s="37">
        <f t="shared" ca="1" si="2"/>
        <v>2970.4220000000009</v>
      </c>
    </row>
    <row r="299" spans="1:10" x14ac:dyDescent="0.2">
      <c r="A299" s="17">
        <v>44939</v>
      </c>
      <c r="B299" s="18"/>
      <c r="C299" s="19" t="s">
        <v>242</v>
      </c>
      <c r="D299" s="30" t="s">
        <v>39</v>
      </c>
      <c r="E299" s="18" t="s">
        <v>14</v>
      </c>
      <c r="F299" s="31">
        <v>121</v>
      </c>
      <c r="G299" s="31"/>
      <c r="H299" s="37">
        <f t="shared" ca="1" si="2"/>
        <v>2849.4220000000009</v>
      </c>
    </row>
    <row r="300" spans="1:10" x14ac:dyDescent="0.2">
      <c r="A300" s="17">
        <v>44939</v>
      </c>
      <c r="B300" s="18"/>
      <c r="C300" s="19" t="s">
        <v>31</v>
      </c>
      <c r="D300" s="30" t="s">
        <v>64</v>
      </c>
      <c r="E300" s="18" t="s">
        <v>14</v>
      </c>
      <c r="F300" s="31">
        <v>545.78</v>
      </c>
      <c r="G300" s="31"/>
      <c r="H300" s="37">
        <f t="shared" ca="1" si="2"/>
        <v>2303.6420000000007</v>
      </c>
    </row>
    <row r="301" spans="1:10" x14ac:dyDescent="0.2">
      <c r="A301" s="17">
        <v>44939</v>
      </c>
      <c r="B301" s="18"/>
      <c r="C301" s="19" t="s">
        <v>46</v>
      </c>
      <c r="D301" s="30" t="s">
        <v>47</v>
      </c>
      <c r="E301" s="18" t="s">
        <v>14</v>
      </c>
      <c r="F301" s="31">
        <v>118.97</v>
      </c>
      <c r="G301" s="31"/>
      <c r="H301" s="37">
        <f t="shared" ca="1" si="2"/>
        <v>2184.6720000000009</v>
      </c>
    </row>
    <row r="302" spans="1:10" x14ac:dyDescent="0.2">
      <c r="A302" s="17">
        <v>44939</v>
      </c>
      <c r="B302" s="18"/>
      <c r="C302" s="19" t="s">
        <v>36</v>
      </c>
      <c r="D302" s="30" t="s">
        <v>278</v>
      </c>
      <c r="E302" s="18" t="s">
        <v>14</v>
      </c>
      <c r="F302" s="31">
        <v>397.43</v>
      </c>
      <c r="G302" s="31"/>
      <c r="H302" s="37">
        <f t="shared" ca="1" si="2"/>
        <v>1787.2420000000009</v>
      </c>
    </row>
    <row r="303" spans="1:10" x14ac:dyDescent="0.2">
      <c r="A303" s="17">
        <v>44939</v>
      </c>
      <c r="B303" s="18"/>
      <c r="C303" s="19" t="s">
        <v>58</v>
      </c>
      <c r="D303" s="30" t="s">
        <v>30</v>
      </c>
      <c r="E303" s="18" t="s">
        <v>14</v>
      </c>
      <c r="F303" s="31">
        <v>84.32</v>
      </c>
      <c r="G303" s="31"/>
      <c r="H303" s="37">
        <f t="shared" ca="1" si="2"/>
        <v>1702.9220000000009</v>
      </c>
    </row>
    <row r="304" spans="1:10" x14ac:dyDescent="0.2">
      <c r="A304" s="17">
        <v>44946</v>
      </c>
      <c r="B304" s="18"/>
      <c r="C304" s="19" t="s">
        <v>66</v>
      </c>
      <c r="D304" s="30" t="s">
        <v>303</v>
      </c>
      <c r="E304" s="18" t="s">
        <v>14</v>
      </c>
      <c r="F304" s="31"/>
      <c r="G304" s="31">
        <v>135.29</v>
      </c>
      <c r="H304" s="37">
        <f t="shared" ca="1" si="2"/>
        <v>1838.2120000000009</v>
      </c>
    </row>
    <row r="305" spans="1:8" x14ac:dyDescent="0.2">
      <c r="A305" s="17">
        <v>44951</v>
      </c>
      <c r="B305" s="18"/>
      <c r="C305" s="19" t="s">
        <v>66</v>
      </c>
      <c r="D305" s="30" t="s">
        <v>41</v>
      </c>
      <c r="E305" s="18" t="s">
        <v>14</v>
      </c>
      <c r="F305" s="31"/>
      <c r="G305" s="31">
        <v>50</v>
      </c>
      <c r="H305" s="37">
        <f t="shared" ca="1" si="2"/>
        <v>1888.2120000000009</v>
      </c>
    </row>
    <row r="306" spans="1:8" x14ac:dyDescent="0.2">
      <c r="A306" s="17">
        <v>44953</v>
      </c>
      <c r="B306" s="18"/>
      <c r="C306" s="19" t="s">
        <v>33</v>
      </c>
      <c r="D306" s="30" t="s">
        <v>40</v>
      </c>
      <c r="E306" s="18" t="s">
        <v>14</v>
      </c>
      <c r="F306" s="31"/>
      <c r="G306" s="31">
        <v>3117.72</v>
      </c>
      <c r="H306" s="37">
        <f t="shared" ca="1" si="2"/>
        <v>5005.9320000000007</v>
      </c>
    </row>
    <row r="307" spans="1:8" x14ac:dyDescent="0.2">
      <c r="A307" s="17">
        <v>44953</v>
      </c>
      <c r="B307" s="18"/>
      <c r="C307" s="19" t="s">
        <v>259</v>
      </c>
      <c r="D307" s="30" t="s">
        <v>38</v>
      </c>
      <c r="E307" s="18" t="s">
        <v>14</v>
      </c>
      <c r="F307" s="31">
        <v>79.989999999999995</v>
      </c>
      <c r="G307" s="31"/>
      <c r="H307" s="37">
        <f t="shared" ca="1" si="2"/>
        <v>4925.9420000000009</v>
      </c>
    </row>
    <row r="308" spans="1:8" x14ac:dyDescent="0.2">
      <c r="A308" s="17">
        <v>44954</v>
      </c>
      <c r="B308" s="18"/>
      <c r="C308" s="19" t="s">
        <v>28</v>
      </c>
      <c r="D308" s="30" t="s">
        <v>55</v>
      </c>
      <c r="E308" s="18" t="s">
        <v>14</v>
      </c>
      <c r="F308" s="31">
        <v>1178.45</v>
      </c>
      <c r="G308" s="31"/>
      <c r="H308" s="37">
        <f t="shared" ca="1" si="2"/>
        <v>3747.4920000000011</v>
      </c>
    </row>
    <row r="309" spans="1:8" x14ac:dyDescent="0.2">
      <c r="A309" s="17">
        <v>44958</v>
      </c>
      <c r="B309" s="18"/>
      <c r="C309" s="19" t="s">
        <v>29</v>
      </c>
      <c r="D309" s="30" t="s">
        <v>45</v>
      </c>
      <c r="E309" s="18" t="s">
        <v>14</v>
      </c>
      <c r="F309" s="31">
        <v>178.48</v>
      </c>
      <c r="G309" s="31"/>
      <c r="H309" s="37">
        <f t="shared" ca="1" si="2"/>
        <v>3569.0120000000011</v>
      </c>
    </row>
    <row r="310" spans="1:8" x14ac:dyDescent="0.2">
      <c r="A310" s="17">
        <v>44960</v>
      </c>
      <c r="B310" s="18"/>
      <c r="C310" s="19" t="s">
        <v>271</v>
      </c>
      <c r="D310" s="30" t="s">
        <v>47</v>
      </c>
      <c r="E310" s="18" t="s">
        <v>14</v>
      </c>
      <c r="F310" s="31">
        <v>3773.64</v>
      </c>
      <c r="G310" s="31"/>
      <c r="H310" s="37">
        <f t="shared" ca="1" si="2"/>
        <v>-204.62799999999879</v>
      </c>
    </row>
    <row r="311" spans="1:8" x14ac:dyDescent="0.2">
      <c r="A311" s="17">
        <v>44967</v>
      </c>
      <c r="B311" s="18"/>
      <c r="C311" s="19" t="s">
        <v>33</v>
      </c>
      <c r="D311" s="30" t="s">
        <v>40</v>
      </c>
      <c r="E311" s="18" t="s">
        <v>14</v>
      </c>
      <c r="F311" s="31"/>
      <c r="G311" s="31">
        <v>3117.72</v>
      </c>
      <c r="H311" s="37">
        <f t="shared" ca="1" si="2"/>
        <v>2913.092000000001</v>
      </c>
    </row>
    <row r="312" spans="1:8" x14ac:dyDescent="0.2">
      <c r="A312" s="17">
        <v>44967</v>
      </c>
      <c r="B312" s="18"/>
      <c r="C312" s="19" t="s">
        <v>59</v>
      </c>
      <c r="D312" s="30" t="s">
        <v>60</v>
      </c>
      <c r="E312" s="18" t="s">
        <v>14</v>
      </c>
      <c r="F312" s="31">
        <v>82</v>
      </c>
      <c r="G312" s="31"/>
      <c r="H312" s="37">
        <f t="shared" ca="1" si="2"/>
        <v>2831.092000000001</v>
      </c>
    </row>
    <row r="313" spans="1:8" x14ac:dyDescent="0.2">
      <c r="A313" s="17">
        <v>44967</v>
      </c>
      <c r="B313" s="18"/>
      <c r="C313" s="19" t="s">
        <v>242</v>
      </c>
      <c r="D313" s="30" t="s">
        <v>39</v>
      </c>
      <c r="E313" s="18" t="s">
        <v>14</v>
      </c>
      <c r="F313" s="31">
        <v>121</v>
      </c>
      <c r="G313" s="31"/>
      <c r="H313" s="37">
        <f t="shared" ref="H313:H376" ca="1" si="3">IF(AND(ISBLANK(F313),ISBLANK(G313)),"",OFFSET(H313,-1,0,1,1)+G313-F313)</f>
        <v>2710.092000000001</v>
      </c>
    </row>
    <row r="314" spans="1:8" x14ac:dyDescent="0.2">
      <c r="A314" s="17">
        <v>44967</v>
      </c>
      <c r="B314" s="18"/>
      <c r="C314" s="19" t="s">
        <v>31</v>
      </c>
      <c r="D314" s="30" t="s">
        <v>64</v>
      </c>
      <c r="E314" s="18" t="s">
        <v>14</v>
      </c>
      <c r="F314" s="31">
        <v>545.78</v>
      </c>
      <c r="G314" s="31"/>
      <c r="H314" s="37">
        <f t="shared" ca="1" si="3"/>
        <v>2164.3120000000008</v>
      </c>
    </row>
    <row r="315" spans="1:8" x14ac:dyDescent="0.2">
      <c r="A315" s="17">
        <v>44967</v>
      </c>
      <c r="B315" s="18"/>
      <c r="C315" s="19" t="s">
        <v>46</v>
      </c>
      <c r="D315" s="30" t="s">
        <v>47</v>
      </c>
      <c r="E315" s="18" t="s">
        <v>14</v>
      </c>
      <c r="F315" s="31">
        <v>135.29</v>
      </c>
      <c r="G315" s="31"/>
      <c r="H315" s="37">
        <f t="shared" ca="1" si="3"/>
        <v>2029.0220000000008</v>
      </c>
    </row>
    <row r="316" spans="1:8" x14ac:dyDescent="0.2">
      <c r="A316" s="17">
        <v>44967</v>
      </c>
      <c r="B316" s="18"/>
      <c r="C316" s="19" t="s">
        <v>298</v>
      </c>
      <c r="D316" s="30" t="s">
        <v>32</v>
      </c>
      <c r="E316" s="18" t="s">
        <v>14</v>
      </c>
      <c r="F316" s="31">
        <v>331</v>
      </c>
      <c r="G316" s="31"/>
      <c r="H316" s="37">
        <f t="shared" ca="1" si="3"/>
        <v>1698.0220000000008</v>
      </c>
    </row>
    <row r="317" spans="1:8" x14ac:dyDescent="0.2">
      <c r="A317" s="17">
        <v>44973</v>
      </c>
      <c r="B317" s="18"/>
      <c r="C317" s="19" t="s">
        <v>304</v>
      </c>
      <c r="D317" s="30" t="s">
        <v>305</v>
      </c>
      <c r="E317" s="18" t="s">
        <v>14</v>
      </c>
      <c r="F317" s="31">
        <v>640</v>
      </c>
      <c r="G317" s="31"/>
      <c r="H317" s="37">
        <f t="shared" ca="1" si="3"/>
        <v>1058.0220000000008</v>
      </c>
    </row>
    <row r="318" spans="1:8" x14ac:dyDescent="0.2">
      <c r="A318" s="17">
        <v>44980</v>
      </c>
      <c r="B318" s="18"/>
      <c r="C318" s="19" t="s">
        <v>36</v>
      </c>
      <c r="D318" s="30" t="s">
        <v>278</v>
      </c>
      <c r="E318" s="18" t="s">
        <v>14</v>
      </c>
      <c r="F318" s="31">
        <v>397.43</v>
      </c>
      <c r="G318" s="31"/>
      <c r="H318" s="37">
        <f t="shared" ca="1" si="3"/>
        <v>660.59200000000078</v>
      </c>
    </row>
    <row r="319" spans="1:8" x14ac:dyDescent="0.2">
      <c r="A319" s="17">
        <v>44980</v>
      </c>
      <c r="B319" s="18"/>
      <c r="C319" s="19" t="s">
        <v>27</v>
      </c>
      <c r="D319" s="30" t="s">
        <v>30</v>
      </c>
      <c r="E319" s="18" t="s">
        <v>14</v>
      </c>
      <c r="F319" s="31">
        <v>70.97</v>
      </c>
      <c r="G319" s="31"/>
      <c r="H319" s="37">
        <f t="shared" ca="1" si="3"/>
        <v>589.62200000000075</v>
      </c>
    </row>
    <row r="320" spans="1:8" x14ac:dyDescent="0.2">
      <c r="A320" s="17">
        <v>44980</v>
      </c>
      <c r="B320" s="18"/>
      <c r="C320" s="19" t="s">
        <v>259</v>
      </c>
      <c r="D320" s="30" t="s">
        <v>38</v>
      </c>
      <c r="E320" s="18" t="s">
        <v>14</v>
      </c>
      <c r="F320" s="31">
        <v>79.989999999999995</v>
      </c>
      <c r="G320" s="31"/>
      <c r="H320" s="37">
        <f t="shared" ca="1" si="3"/>
        <v>509.63200000000074</v>
      </c>
    </row>
    <row r="321" spans="1:8" x14ac:dyDescent="0.2">
      <c r="A321" s="17">
        <v>44981</v>
      </c>
      <c r="B321" s="18"/>
      <c r="C321" s="19" t="s">
        <v>33</v>
      </c>
      <c r="D321" s="30" t="s">
        <v>40</v>
      </c>
      <c r="E321" s="18" t="s">
        <v>14</v>
      </c>
      <c r="F321" s="31"/>
      <c r="G321" s="31">
        <v>3117.72</v>
      </c>
      <c r="H321" s="37">
        <f t="shared" ca="1" si="3"/>
        <v>3627.3520000000008</v>
      </c>
    </row>
    <row r="322" spans="1:8" x14ac:dyDescent="0.2">
      <c r="A322" s="17">
        <v>44981</v>
      </c>
      <c r="B322" s="18"/>
      <c r="C322" s="19" t="s">
        <v>29</v>
      </c>
      <c r="D322" s="30" t="s">
        <v>45</v>
      </c>
      <c r="E322" s="18" t="s">
        <v>14</v>
      </c>
      <c r="F322" s="31">
        <v>304.2</v>
      </c>
      <c r="G322" s="31"/>
      <c r="H322" s="37">
        <f t="shared" ca="1" si="3"/>
        <v>3323.152000000001</v>
      </c>
    </row>
    <row r="323" spans="1:8" x14ac:dyDescent="0.2">
      <c r="A323" s="17">
        <v>44981</v>
      </c>
      <c r="B323" s="18"/>
      <c r="C323" s="19" t="s">
        <v>28</v>
      </c>
      <c r="D323" s="30" t="s">
        <v>55</v>
      </c>
      <c r="E323" s="18" t="s">
        <v>14</v>
      </c>
      <c r="F323" s="31">
        <v>1178.45</v>
      </c>
      <c r="G323" s="31"/>
      <c r="H323" s="37">
        <f t="shared" ca="1" si="3"/>
        <v>2144.7020000000011</v>
      </c>
    </row>
    <row r="324" spans="1:8" x14ac:dyDescent="0.2">
      <c r="A324" s="17">
        <v>44984</v>
      </c>
      <c r="B324" s="18"/>
      <c r="C324" s="19" t="s">
        <v>66</v>
      </c>
      <c r="D324" s="30" t="s">
        <v>45</v>
      </c>
      <c r="E324" s="18" t="s">
        <v>14</v>
      </c>
      <c r="F324" s="31"/>
      <c r="G324" s="31">
        <v>142.76</v>
      </c>
      <c r="H324" s="37">
        <f t="shared" ca="1" si="3"/>
        <v>2287.4620000000014</v>
      </c>
    </row>
    <row r="325" spans="1:8" x14ac:dyDescent="0.2">
      <c r="A325" s="17">
        <v>44984</v>
      </c>
      <c r="B325" s="18"/>
      <c r="C325" s="19" t="s">
        <v>33</v>
      </c>
      <c r="D325" s="30" t="s">
        <v>61</v>
      </c>
      <c r="E325" s="18" t="s">
        <v>14</v>
      </c>
      <c r="F325" s="31"/>
      <c r="G325" s="31">
        <v>667</v>
      </c>
      <c r="H325" s="37">
        <f t="shared" ca="1" si="3"/>
        <v>2954.4620000000014</v>
      </c>
    </row>
    <row r="326" spans="1:8" x14ac:dyDescent="0.2">
      <c r="A326" s="17">
        <v>44985</v>
      </c>
      <c r="B326" s="18"/>
      <c r="C326" s="19" t="s">
        <v>33</v>
      </c>
      <c r="D326" s="30" t="s">
        <v>61</v>
      </c>
      <c r="E326" s="18" t="s">
        <v>14</v>
      </c>
      <c r="F326" s="31"/>
      <c r="G326" s="31">
        <v>1936</v>
      </c>
      <c r="H326" s="37">
        <f t="shared" ca="1" si="3"/>
        <v>4890.4620000000014</v>
      </c>
    </row>
    <row r="327" spans="1:8" x14ac:dyDescent="0.2">
      <c r="A327" s="17">
        <v>44985</v>
      </c>
      <c r="B327" s="18"/>
      <c r="C327" s="19" t="s">
        <v>33</v>
      </c>
      <c r="D327" s="30" t="s">
        <v>49</v>
      </c>
      <c r="E327" s="18" t="s">
        <v>14</v>
      </c>
      <c r="F327" s="31">
        <v>1000</v>
      </c>
      <c r="G327" s="31"/>
      <c r="H327" s="37">
        <f t="shared" ca="1" si="3"/>
        <v>3890.4620000000014</v>
      </c>
    </row>
    <row r="328" spans="1:8" x14ac:dyDescent="0.2">
      <c r="A328" s="17">
        <v>44987</v>
      </c>
      <c r="B328" s="18"/>
      <c r="C328" s="19" t="s">
        <v>250</v>
      </c>
      <c r="D328" s="30" t="s">
        <v>32</v>
      </c>
      <c r="E328" s="18" t="s">
        <v>14</v>
      </c>
      <c r="F328" s="31">
        <v>351</v>
      </c>
      <c r="G328" s="31"/>
      <c r="H328" s="37">
        <f t="shared" ca="1" si="3"/>
        <v>3539.4620000000014</v>
      </c>
    </row>
    <row r="329" spans="1:8" x14ac:dyDescent="0.2">
      <c r="A329" s="17">
        <v>44991</v>
      </c>
      <c r="B329" s="18"/>
      <c r="C329" s="19" t="s">
        <v>271</v>
      </c>
      <c r="D329" s="30" t="s">
        <v>47</v>
      </c>
      <c r="E329" s="18" t="s">
        <v>14</v>
      </c>
      <c r="F329" s="31">
        <v>4636.68</v>
      </c>
      <c r="G329" s="31"/>
      <c r="H329" s="37">
        <f t="shared" ca="1" si="3"/>
        <v>-1097.2179999999989</v>
      </c>
    </row>
    <row r="330" spans="1:8" x14ac:dyDescent="0.2">
      <c r="A330" s="17">
        <v>44991</v>
      </c>
      <c r="B330" s="18"/>
      <c r="C330" s="19" t="s">
        <v>52</v>
      </c>
      <c r="D330" s="30"/>
      <c r="E330" s="18" t="s">
        <v>14</v>
      </c>
      <c r="F330" s="31"/>
      <c r="G330" s="31">
        <v>1000</v>
      </c>
      <c r="H330" s="37">
        <f t="shared" ca="1" si="3"/>
        <v>-97.217999999998938</v>
      </c>
    </row>
    <row r="331" spans="1:8" x14ac:dyDescent="0.2">
      <c r="A331" s="17">
        <v>44995</v>
      </c>
      <c r="B331" s="18"/>
      <c r="C331" s="19" t="s">
        <v>33</v>
      </c>
      <c r="D331" s="30" t="s">
        <v>40</v>
      </c>
      <c r="E331" s="18" t="s">
        <v>14</v>
      </c>
      <c r="F331" s="31"/>
      <c r="G331" s="31">
        <v>3117.72</v>
      </c>
      <c r="H331" s="37">
        <f t="shared" ca="1" si="3"/>
        <v>3020.5020000000009</v>
      </c>
    </row>
    <row r="332" spans="1:8" x14ac:dyDescent="0.2">
      <c r="A332" s="17">
        <v>44995</v>
      </c>
      <c r="B332" s="18"/>
      <c r="C332" s="19" t="s">
        <v>276</v>
      </c>
      <c r="D332" s="30" t="s">
        <v>60</v>
      </c>
      <c r="E332" s="18" t="s">
        <v>14</v>
      </c>
      <c r="F332" s="31">
        <v>100</v>
      </c>
      <c r="G332" s="31"/>
      <c r="H332" s="37">
        <f t="shared" ca="1" si="3"/>
        <v>2920.5020000000009</v>
      </c>
    </row>
    <row r="333" spans="1:8" x14ac:dyDescent="0.2">
      <c r="A333" s="17">
        <v>44995</v>
      </c>
      <c r="B333" s="18"/>
      <c r="C333" s="19" t="s">
        <v>242</v>
      </c>
      <c r="D333" s="30" t="s">
        <v>39</v>
      </c>
      <c r="E333" s="18" t="s">
        <v>14</v>
      </c>
      <c r="F333" s="31">
        <v>33</v>
      </c>
      <c r="G333" s="31"/>
      <c r="H333" s="37">
        <f t="shared" ca="1" si="3"/>
        <v>2887.5020000000009</v>
      </c>
    </row>
    <row r="334" spans="1:8" x14ac:dyDescent="0.2">
      <c r="A334" s="17">
        <v>44995</v>
      </c>
      <c r="B334" s="18"/>
      <c r="C334" s="19" t="s">
        <v>46</v>
      </c>
      <c r="D334" s="30" t="s">
        <v>47</v>
      </c>
      <c r="E334" s="18" t="s">
        <v>14</v>
      </c>
      <c r="F334" s="31">
        <v>45.08</v>
      </c>
      <c r="G334" s="31"/>
      <c r="H334" s="37">
        <f t="shared" ca="1" si="3"/>
        <v>2842.4220000000009</v>
      </c>
    </row>
    <row r="335" spans="1:8" x14ac:dyDescent="0.2">
      <c r="A335" s="17">
        <v>45000</v>
      </c>
      <c r="B335" s="18"/>
      <c r="C335" s="19" t="s">
        <v>31</v>
      </c>
      <c r="D335" s="30" t="s">
        <v>64</v>
      </c>
      <c r="E335" s="18" t="s">
        <v>14</v>
      </c>
      <c r="F335" s="31">
        <v>545.78</v>
      </c>
      <c r="G335" s="31"/>
      <c r="H335" s="37">
        <f t="shared" ca="1" si="3"/>
        <v>2296.6420000000007</v>
      </c>
    </row>
    <row r="336" spans="1:8" x14ac:dyDescent="0.2">
      <c r="A336" s="17">
        <v>44998</v>
      </c>
      <c r="B336" s="18"/>
      <c r="C336" s="19" t="s">
        <v>66</v>
      </c>
      <c r="D336" s="30"/>
      <c r="E336" s="18" t="s">
        <v>14</v>
      </c>
      <c r="F336" s="31">
        <v>10</v>
      </c>
      <c r="G336" s="31"/>
      <c r="H336" s="37">
        <f t="shared" ca="1" si="3"/>
        <v>2286.6420000000007</v>
      </c>
    </row>
    <row r="337" spans="1:8" x14ac:dyDescent="0.2">
      <c r="A337" s="17">
        <v>45004</v>
      </c>
      <c r="B337" s="18"/>
      <c r="C337" s="19" t="s">
        <v>66</v>
      </c>
      <c r="D337" s="30" t="s">
        <v>306</v>
      </c>
      <c r="E337" s="18" t="s">
        <v>14</v>
      </c>
      <c r="F337" s="31">
        <v>20</v>
      </c>
      <c r="G337" s="31"/>
      <c r="H337" s="37">
        <f t="shared" ca="1" si="3"/>
        <v>2266.6420000000007</v>
      </c>
    </row>
    <row r="338" spans="1:8" x14ac:dyDescent="0.2">
      <c r="A338" s="17">
        <v>45009</v>
      </c>
      <c r="B338" s="18"/>
      <c r="C338" s="19" t="s">
        <v>33</v>
      </c>
      <c r="D338" s="30" t="s">
        <v>307</v>
      </c>
      <c r="E338" s="18" t="s">
        <v>14</v>
      </c>
      <c r="F338" s="31"/>
      <c r="G338" s="31">
        <v>1112.6300000000001</v>
      </c>
      <c r="H338" s="37">
        <f t="shared" ca="1" si="3"/>
        <v>3379.2720000000008</v>
      </c>
    </row>
    <row r="339" spans="1:8" x14ac:dyDescent="0.2">
      <c r="A339" s="17">
        <v>45009</v>
      </c>
      <c r="B339" s="18"/>
      <c r="C339" s="19" t="s">
        <v>33</v>
      </c>
      <c r="D339" s="30" t="s">
        <v>40</v>
      </c>
      <c r="E339" s="18" t="s">
        <v>14</v>
      </c>
      <c r="F339" s="31"/>
      <c r="G339" s="31">
        <v>3117.72</v>
      </c>
      <c r="H339" s="37">
        <f t="shared" ca="1" si="3"/>
        <v>6496.9920000000002</v>
      </c>
    </row>
    <row r="340" spans="1:8" x14ac:dyDescent="0.2">
      <c r="A340" s="17">
        <v>45009</v>
      </c>
      <c r="B340" s="18"/>
      <c r="C340" s="19" t="s">
        <v>66</v>
      </c>
      <c r="D340" s="30" t="s">
        <v>292</v>
      </c>
      <c r="E340" s="18" t="s">
        <v>14</v>
      </c>
      <c r="F340" s="31"/>
      <c r="G340" s="31">
        <v>180</v>
      </c>
      <c r="H340" s="37">
        <f t="shared" ca="1" si="3"/>
        <v>6676.9920000000002</v>
      </c>
    </row>
    <row r="341" spans="1:8" x14ac:dyDescent="0.2">
      <c r="A341" s="17">
        <v>45009</v>
      </c>
      <c r="B341" s="18"/>
      <c r="C341" s="19" t="s">
        <v>36</v>
      </c>
      <c r="D341" s="30" t="s">
        <v>278</v>
      </c>
      <c r="E341" s="18" t="s">
        <v>14</v>
      </c>
      <c r="F341" s="31">
        <v>397.43</v>
      </c>
      <c r="G341" s="31"/>
      <c r="H341" s="37">
        <f t="shared" ca="1" si="3"/>
        <v>6279.5619999999999</v>
      </c>
    </row>
    <row r="342" spans="1:8" x14ac:dyDescent="0.2">
      <c r="A342" s="17">
        <v>45009</v>
      </c>
      <c r="B342" s="18"/>
      <c r="C342" s="19" t="s">
        <v>58</v>
      </c>
      <c r="D342" s="30" t="s">
        <v>30</v>
      </c>
      <c r="E342" s="18" t="s">
        <v>14</v>
      </c>
      <c r="F342" s="31">
        <v>66.84</v>
      </c>
      <c r="G342" s="31"/>
      <c r="H342" s="37">
        <f t="shared" ca="1" si="3"/>
        <v>6212.7219999999998</v>
      </c>
    </row>
    <row r="343" spans="1:8" x14ac:dyDescent="0.2">
      <c r="A343" s="17">
        <v>45009</v>
      </c>
      <c r="B343" s="18"/>
      <c r="C343" s="19" t="s">
        <v>259</v>
      </c>
      <c r="D343" s="30" t="s">
        <v>38</v>
      </c>
      <c r="E343" s="18" t="s">
        <v>14</v>
      </c>
      <c r="F343" s="31">
        <v>79.989999999999995</v>
      </c>
      <c r="G343" s="31"/>
      <c r="H343" s="37">
        <f t="shared" ca="1" si="3"/>
        <v>6132.732</v>
      </c>
    </row>
    <row r="344" spans="1:8" x14ac:dyDescent="0.2">
      <c r="A344" s="17">
        <v>45010</v>
      </c>
      <c r="B344" s="18"/>
      <c r="C344" s="19" t="s">
        <v>250</v>
      </c>
      <c r="D344" s="30" t="s">
        <v>32</v>
      </c>
      <c r="E344" s="18" t="s">
        <v>14</v>
      </c>
      <c r="F344" s="31">
        <v>311</v>
      </c>
      <c r="G344" s="31"/>
      <c r="H344" s="37">
        <f t="shared" ca="1" si="3"/>
        <v>5821.732</v>
      </c>
    </row>
    <row r="345" spans="1:8" x14ac:dyDescent="0.2">
      <c r="A345" s="17">
        <v>45016</v>
      </c>
      <c r="B345" s="18"/>
      <c r="C345" s="19" t="s">
        <v>29</v>
      </c>
      <c r="D345" s="30" t="s">
        <v>45</v>
      </c>
      <c r="E345" s="18" t="s">
        <v>14</v>
      </c>
      <c r="F345" s="31">
        <v>233.17</v>
      </c>
      <c r="G345" s="31"/>
      <c r="H345" s="37">
        <f t="shared" ca="1" si="3"/>
        <v>5588.5619999999999</v>
      </c>
    </row>
    <row r="346" spans="1:8" x14ac:dyDescent="0.2">
      <c r="A346" s="17">
        <v>45016</v>
      </c>
      <c r="B346" s="18"/>
      <c r="C346" s="19" t="s">
        <v>28</v>
      </c>
      <c r="D346" s="30" t="s">
        <v>55</v>
      </c>
      <c r="E346" s="18" t="s">
        <v>14</v>
      </c>
      <c r="F346" s="31">
        <v>1178.45</v>
      </c>
      <c r="G346" s="31"/>
      <c r="H346" s="37">
        <f t="shared" ca="1" si="3"/>
        <v>4410.1120000000001</v>
      </c>
    </row>
    <row r="347" spans="1:8" x14ac:dyDescent="0.2">
      <c r="A347" s="17">
        <v>45020</v>
      </c>
      <c r="B347" s="18">
        <v>1402</v>
      </c>
      <c r="C347" s="19" t="s">
        <v>308</v>
      </c>
      <c r="D347" s="30"/>
      <c r="E347" s="18" t="s">
        <v>14</v>
      </c>
      <c r="F347" s="31">
        <v>55</v>
      </c>
      <c r="G347" s="31"/>
      <c r="H347" s="37">
        <f t="shared" ca="1" si="3"/>
        <v>4355.1120000000001</v>
      </c>
    </row>
    <row r="348" spans="1:8" x14ac:dyDescent="0.2">
      <c r="A348" s="17">
        <v>45023</v>
      </c>
      <c r="B348" s="18"/>
      <c r="C348" s="19" t="s">
        <v>33</v>
      </c>
      <c r="D348" s="30" t="s">
        <v>309</v>
      </c>
      <c r="E348" s="18" t="s">
        <v>14</v>
      </c>
      <c r="F348" s="31"/>
      <c r="G348" s="31">
        <v>3117.71</v>
      </c>
      <c r="H348" s="37">
        <f t="shared" ca="1" si="3"/>
        <v>7472.8220000000001</v>
      </c>
    </row>
    <row r="349" spans="1:8" x14ac:dyDescent="0.2">
      <c r="A349" s="17">
        <v>45019</v>
      </c>
      <c r="B349" s="18"/>
      <c r="C349" s="19" t="s">
        <v>66</v>
      </c>
      <c r="D349" s="30" t="s">
        <v>45</v>
      </c>
      <c r="E349" s="18" t="s">
        <v>14</v>
      </c>
      <c r="F349" s="31"/>
      <c r="G349" s="31">
        <v>54.76</v>
      </c>
      <c r="H349" s="37">
        <f t="shared" ca="1" si="3"/>
        <v>7527.5820000000003</v>
      </c>
    </row>
    <row r="350" spans="1:8" x14ac:dyDescent="0.2">
      <c r="A350" s="17">
        <v>45023</v>
      </c>
      <c r="B350" s="18"/>
      <c r="C350" s="19" t="s">
        <v>271</v>
      </c>
      <c r="D350" s="30" t="s">
        <v>47</v>
      </c>
      <c r="E350" s="18" t="s">
        <v>14</v>
      </c>
      <c r="F350" s="31">
        <v>7128.42</v>
      </c>
      <c r="G350" s="31"/>
      <c r="H350" s="37">
        <f t="shared" ca="1" si="3"/>
        <v>399.16200000000026</v>
      </c>
    </row>
    <row r="351" spans="1:8" x14ac:dyDescent="0.2">
      <c r="A351" s="17">
        <v>45023</v>
      </c>
      <c r="B351" s="18"/>
      <c r="C351" s="19" t="s">
        <v>276</v>
      </c>
      <c r="D351" s="30" t="s">
        <v>60</v>
      </c>
      <c r="E351" s="18" t="s">
        <v>14</v>
      </c>
      <c r="F351" s="31">
        <v>82</v>
      </c>
      <c r="G351" s="31"/>
      <c r="H351" s="37">
        <f t="shared" ca="1" si="3"/>
        <v>317.16200000000026</v>
      </c>
    </row>
    <row r="352" spans="1:8" x14ac:dyDescent="0.2">
      <c r="A352" s="17">
        <v>45023</v>
      </c>
      <c r="B352" s="18"/>
      <c r="C352" s="19" t="s">
        <v>31</v>
      </c>
      <c r="D352" s="30" t="s">
        <v>64</v>
      </c>
      <c r="E352" s="18" t="s">
        <v>14</v>
      </c>
      <c r="F352" s="31">
        <v>545.78</v>
      </c>
      <c r="G352" s="31"/>
      <c r="H352" s="37">
        <f t="shared" ca="1" si="3"/>
        <v>-228.61799999999971</v>
      </c>
    </row>
    <row r="353" spans="1:8" x14ac:dyDescent="0.2">
      <c r="A353" s="17">
        <v>45023</v>
      </c>
      <c r="B353" s="18"/>
      <c r="C353" s="19" t="s">
        <v>46</v>
      </c>
      <c r="D353" s="30" t="s">
        <v>47</v>
      </c>
      <c r="E353" s="18" t="s">
        <v>14</v>
      </c>
      <c r="F353" s="31">
        <v>196.55</v>
      </c>
      <c r="G353" s="31"/>
      <c r="H353" s="37">
        <f t="shared" ca="1" si="3"/>
        <v>-425.16799999999972</v>
      </c>
    </row>
    <row r="354" spans="1:8" x14ac:dyDescent="0.2">
      <c r="A354" s="17">
        <v>45023</v>
      </c>
      <c r="B354" s="18"/>
      <c r="C354" s="19" t="s">
        <v>52</v>
      </c>
      <c r="D354" s="30"/>
      <c r="E354" s="18" t="s">
        <v>14</v>
      </c>
      <c r="F354" s="31"/>
      <c r="G354" s="31">
        <v>500</v>
      </c>
      <c r="H354" s="37">
        <f t="shared" ca="1" si="3"/>
        <v>74.832000000000278</v>
      </c>
    </row>
    <row r="355" spans="1:8" x14ac:dyDescent="0.2">
      <c r="A355" s="17">
        <v>45029</v>
      </c>
      <c r="B355" s="18"/>
      <c r="C355" s="19" t="s">
        <v>52</v>
      </c>
      <c r="D355" s="30"/>
      <c r="E355" s="18" t="s">
        <v>14</v>
      </c>
      <c r="F355" s="31"/>
      <c r="G355" s="31">
        <v>500</v>
      </c>
      <c r="H355" s="37">
        <f t="shared" ca="1" si="3"/>
        <v>574.83200000000033</v>
      </c>
    </row>
    <row r="356" spans="1:8" x14ac:dyDescent="0.2">
      <c r="A356" s="17">
        <v>45030</v>
      </c>
      <c r="B356" s="18"/>
      <c r="C356" s="19" t="s">
        <v>66</v>
      </c>
      <c r="D356" s="30"/>
      <c r="E356" s="18" t="s">
        <v>14</v>
      </c>
      <c r="F356" s="31"/>
      <c r="G356" s="31">
        <v>30</v>
      </c>
      <c r="H356" s="37">
        <f t="shared" ca="1" si="3"/>
        <v>604.83200000000033</v>
      </c>
    </row>
    <row r="357" spans="1:8" x14ac:dyDescent="0.2">
      <c r="A357" s="17">
        <v>45030</v>
      </c>
      <c r="B357" s="18"/>
      <c r="C357" s="19" t="s">
        <v>33</v>
      </c>
      <c r="D357" s="30" t="s">
        <v>310</v>
      </c>
      <c r="E357" s="18" t="s">
        <v>14</v>
      </c>
      <c r="F357" s="31">
        <v>300</v>
      </c>
      <c r="G357" s="31"/>
      <c r="H357" s="37">
        <f t="shared" ca="1" si="3"/>
        <v>304.83200000000033</v>
      </c>
    </row>
    <row r="358" spans="1:8" x14ac:dyDescent="0.2">
      <c r="A358" s="17">
        <v>45030</v>
      </c>
      <c r="B358" s="18"/>
      <c r="C358" s="19" t="s">
        <v>250</v>
      </c>
      <c r="D358" s="30" t="s">
        <v>32</v>
      </c>
      <c r="E358" s="18" t="s">
        <v>14</v>
      </c>
      <c r="F358" s="31">
        <v>190</v>
      </c>
      <c r="G358" s="31"/>
      <c r="H358" s="37">
        <f t="shared" ca="1" si="3"/>
        <v>114.83200000000033</v>
      </c>
    </row>
    <row r="359" spans="1:8" x14ac:dyDescent="0.2">
      <c r="A359" s="17">
        <v>45033</v>
      </c>
      <c r="B359" s="18"/>
      <c r="C359" s="19" t="s">
        <v>304</v>
      </c>
      <c r="D359" s="30" t="s">
        <v>311</v>
      </c>
      <c r="E359" s="18" t="s">
        <v>14</v>
      </c>
      <c r="F359" s="31"/>
      <c r="G359" s="31">
        <v>7233.99</v>
      </c>
      <c r="H359" s="37">
        <f t="shared" ca="1" si="3"/>
        <v>7348.8220000000001</v>
      </c>
    </row>
    <row r="360" spans="1:8" x14ac:dyDescent="0.2">
      <c r="A360" s="17">
        <v>45035</v>
      </c>
      <c r="B360" s="18"/>
      <c r="C360" s="19" t="s">
        <v>304</v>
      </c>
      <c r="D360" s="30" t="s">
        <v>311</v>
      </c>
      <c r="E360" s="18" t="s">
        <v>14</v>
      </c>
      <c r="F360" s="31"/>
      <c r="G360" s="31">
        <v>533.67999999999995</v>
      </c>
      <c r="H360" s="37">
        <f t="shared" ca="1" si="3"/>
        <v>7882.5020000000004</v>
      </c>
    </row>
    <row r="361" spans="1:8" x14ac:dyDescent="0.2">
      <c r="A361" s="17">
        <v>45036</v>
      </c>
      <c r="B361" s="18"/>
      <c r="C361" s="19" t="s">
        <v>66</v>
      </c>
      <c r="D361" s="30"/>
      <c r="E361" s="18" t="s">
        <v>14</v>
      </c>
      <c r="F361" s="31"/>
      <c r="G361" s="31">
        <v>25</v>
      </c>
      <c r="H361" s="37">
        <f t="shared" ca="1" si="3"/>
        <v>7907.5020000000004</v>
      </c>
    </row>
    <row r="362" spans="1:8" x14ac:dyDescent="0.2">
      <c r="A362" s="17">
        <v>45037</v>
      </c>
      <c r="B362" s="18"/>
      <c r="C362" s="19" t="s">
        <v>33</v>
      </c>
      <c r="D362" s="30" t="s">
        <v>40</v>
      </c>
      <c r="E362" s="18" t="s">
        <v>14</v>
      </c>
      <c r="F362" s="31"/>
      <c r="G362" s="31">
        <v>3117.73</v>
      </c>
      <c r="H362" s="37">
        <f t="shared" ca="1" si="3"/>
        <v>11025.232</v>
      </c>
    </row>
    <row r="363" spans="1:8" x14ac:dyDescent="0.2">
      <c r="A363" s="17">
        <v>45040</v>
      </c>
      <c r="B363" s="18"/>
      <c r="C363" s="19" t="s">
        <v>66</v>
      </c>
      <c r="D363" s="30" t="s">
        <v>312</v>
      </c>
      <c r="E363" s="18" t="s">
        <v>14</v>
      </c>
      <c r="F363" s="31">
        <v>100</v>
      </c>
      <c r="G363" s="31"/>
      <c r="H363" s="37">
        <f t="shared" ca="1" si="3"/>
        <v>10925.232</v>
      </c>
    </row>
    <row r="364" spans="1:8" x14ac:dyDescent="0.2">
      <c r="A364" s="17">
        <v>45042</v>
      </c>
      <c r="B364" s="18"/>
      <c r="C364" s="19" t="s">
        <v>36</v>
      </c>
      <c r="D364" s="30" t="s">
        <v>278</v>
      </c>
      <c r="E364" s="18" t="s">
        <v>14</v>
      </c>
      <c r="F364" s="31">
        <v>397.43</v>
      </c>
      <c r="G364" s="31"/>
      <c r="H364" s="37">
        <f t="shared" ca="1" si="3"/>
        <v>10527.802</v>
      </c>
    </row>
    <row r="365" spans="1:8" x14ac:dyDescent="0.2">
      <c r="A365" s="17">
        <v>45043</v>
      </c>
      <c r="B365" s="18"/>
      <c r="C365" s="19" t="s">
        <v>58</v>
      </c>
      <c r="D365" s="30" t="s">
        <v>30</v>
      </c>
      <c r="E365" s="18" t="s">
        <v>14</v>
      </c>
      <c r="F365" s="31">
        <v>82.51</v>
      </c>
      <c r="G365" s="31"/>
      <c r="H365" s="37">
        <f t="shared" ca="1" si="3"/>
        <v>10445.291999999999</v>
      </c>
    </row>
    <row r="366" spans="1:8" x14ac:dyDescent="0.2">
      <c r="A366" s="17">
        <v>45043</v>
      </c>
      <c r="B366" s="18"/>
      <c r="C366" s="19" t="s">
        <v>259</v>
      </c>
      <c r="D366" s="30" t="s">
        <v>38</v>
      </c>
      <c r="E366" s="18" t="s">
        <v>14</v>
      </c>
      <c r="F366" s="31">
        <v>79.989999999999995</v>
      </c>
      <c r="G366" s="31"/>
      <c r="H366" s="37">
        <f t="shared" ca="1" si="3"/>
        <v>10365.302</v>
      </c>
    </row>
    <row r="367" spans="1:8" x14ac:dyDescent="0.2">
      <c r="A367" s="17">
        <v>45044</v>
      </c>
      <c r="B367" s="18">
        <v>1403</v>
      </c>
      <c r="C367" s="19" t="s">
        <v>48</v>
      </c>
      <c r="D367" s="30" t="s">
        <v>313</v>
      </c>
      <c r="E367" s="18" t="s">
        <v>14</v>
      </c>
      <c r="F367" s="31">
        <v>10</v>
      </c>
      <c r="G367" s="31"/>
      <c r="H367" s="37">
        <f t="shared" ca="1" si="3"/>
        <v>10355.302</v>
      </c>
    </row>
    <row r="368" spans="1:8" x14ac:dyDescent="0.2">
      <c r="A368" s="17">
        <v>45044</v>
      </c>
      <c r="B368" s="18">
        <v>1404</v>
      </c>
      <c r="C368" s="19" t="s">
        <v>314</v>
      </c>
      <c r="D368" s="30" t="s">
        <v>311</v>
      </c>
      <c r="E368" s="18" t="s">
        <v>14</v>
      </c>
      <c r="F368" s="31">
        <v>9267.67</v>
      </c>
      <c r="G368" s="31"/>
      <c r="H368" s="37">
        <f t="shared" ca="1" si="3"/>
        <v>1087.6319999999996</v>
      </c>
    </row>
    <row r="369" spans="1:8" x14ac:dyDescent="0.2">
      <c r="A369" s="17">
        <v>45044</v>
      </c>
      <c r="B369" s="18"/>
      <c r="C369" s="19" t="s">
        <v>29</v>
      </c>
      <c r="D369" s="30" t="s">
        <v>45</v>
      </c>
      <c r="E369" s="18" t="s">
        <v>14</v>
      </c>
      <c r="F369" s="31">
        <v>232.87</v>
      </c>
      <c r="G369" s="31"/>
      <c r="H369" s="37">
        <f t="shared" ca="1" si="3"/>
        <v>854.7619999999996</v>
      </c>
    </row>
    <row r="370" spans="1:8" x14ac:dyDescent="0.2">
      <c r="A370" s="17">
        <v>45044</v>
      </c>
      <c r="B370" s="18"/>
      <c r="C370" s="19" t="s">
        <v>28</v>
      </c>
      <c r="D370" s="30" t="s">
        <v>55</v>
      </c>
      <c r="E370" s="18" t="s">
        <v>14</v>
      </c>
      <c r="F370" s="31">
        <v>1178.45</v>
      </c>
      <c r="G370" s="31"/>
      <c r="H370" s="37">
        <f t="shared" ca="1" si="3"/>
        <v>-323.68800000000044</v>
      </c>
    </row>
    <row r="371" spans="1:8" x14ac:dyDescent="0.2">
      <c r="A371" s="17">
        <v>45044</v>
      </c>
      <c r="B371" s="18"/>
      <c r="C371" s="19" t="s">
        <v>52</v>
      </c>
      <c r="D371" s="30"/>
      <c r="E371" s="18" t="s">
        <v>14</v>
      </c>
      <c r="F371" s="31"/>
      <c r="G371" s="31">
        <v>500</v>
      </c>
      <c r="H371" s="37">
        <f t="shared" ca="1" si="3"/>
        <v>176.31199999999956</v>
      </c>
    </row>
    <row r="372" spans="1:8" x14ac:dyDescent="0.2">
      <c r="A372" s="17">
        <v>45047</v>
      </c>
      <c r="B372" s="18"/>
      <c r="C372" s="19" t="s">
        <v>66</v>
      </c>
      <c r="D372" s="30" t="s">
        <v>45</v>
      </c>
      <c r="E372" s="18" t="s">
        <v>14</v>
      </c>
      <c r="F372" s="31"/>
      <c r="G372" s="31">
        <v>54.7</v>
      </c>
      <c r="H372" s="37">
        <f t="shared" ca="1" si="3"/>
        <v>231.01199999999955</v>
      </c>
    </row>
    <row r="373" spans="1:8" x14ac:dyDescent="0.2">
      <c r="A373" s="17">
        <v>45051</v>
      </c>
      <c r="B373" s="18"/>
      <c r="C373" s="19" t="s">
        <v>33</v>
      </c>
      <c r="D373" s="30" t="s">
        <v>40</v>
      </c>
      <c r="E373" s="18" t="s">
        <v>14</v>
      </c>
      <c r="F373" s="31"/>
      <c r="G373" s="31">
        <v>3117.72</v>
      </c>
      <c r="H373" s="37">
        <f t="shared" ca="1" si="3"/>
        <v>3348.7319999999995</v>
      </c>
    </row>
    <row r="374" spans="1:8" x14ac:dyDescent="0.2">
      <c r="A374" s="17">
        <v>45050</v>
      </c>
      <c r="B374" s="18"/>
      <c r="C374" s="19" t="s">
        <v>66</v>
      </c>
      <c r="D374" s="30"/>
      <c r="E374" s="18" t="s">
        <v>14</v>
      </c>
      <c r="F374" s="31"/>
      <c r="G374" s="31">
        <v>66.42</v>
      </c>
      <c r="H374" s="37">
        <f t="shared" ca="1" si="3"/>
        <v>3415.1519999999996</v>
      </c>
    </row>
    <row r="375" spans="1:8" x14ac:dyDescent="0.2">
      <c r="A375" s="17">
        <v>45051</v>
      </c>
      <c r="B375" s="18"/>
      <c r="C375" s="19" t="s">
        <v>276</v>
      </c>
      <c r="D375" s="30" t="s">
        <v>60</v>
      </c>
      <c r="E375" s="18" t="s">
        <v>14</v>
      </c>
      <c r="F375" s="31">
        <v>333.93</v>
      </c>
      <c r="G375" s="31"/>
      <c r="H375" s="37">
        <f t="shared" ca="1" si="3"/>
        <v>3081.2219999999998</v>
      </c>
    </row>
    <row r="376" spans="1:8" x14ac:dyDescent="0.2">
      <c r="A376" s="17">
        <v>45051</v>
      </c>
      <c r="B376" s="18"/>
      <c r="C376" s="19" t="s">
        <v>46</v>
      </c>
      <c r="D376" s="30" t="s">
        <v>47</v>
      </c>
      <c r="E376" s="18" t="s">
        <v>14</v>
      </c>
      <c r="F376" s="31">
        <v>262.45999999999998</v>
      </c>
      <c r="G376" s="31"/>
      <c r="H376" s="37">
        <f t="shared" ca="1" si="3"/>
        <v>2818.7619999999997</v>
      </c>
    </row>
    <row r="377" spans="1:8" x14ac:dyDescent="0.2">
      <c r="A377" s="17">
        <v>45051</v>
      </c>
      <c r="B377" s="18"/>
      <c r="C377" s="19" t="s">
        <v>31</v>
      </c>
      <c r="D377" s="30" t="s">
        <v>64</v>
      </c>
      <c r="E377" s="18" t="s">
        <v>14</v>
      </c>
      <c r="F377" s="31">
        <v>545.78</v>
      </c>
      <c r="G377" s="31"/>
      <c r="H377" s="37">
        <f t="shared" ref="H377:H379" ca="1" si="4">IF(AND(ISBLANK(F377),ISBLANK(G377)),"",OFFSET(H377,-1,0,1,1)+G377-F377)</f>
        <v>2272.982</v>
      </c>
    </row>
    <row r="378" spans="1:8" x14ac:dyDescent="0.2">
      <c r="A378" s="17">
        <v>45051</v>
      </c>
      <c r="B378" s="18"/>
      <c r="C378" s="19" t="s">
        <v>271</v>
      </c>
      <c r="D378" s="30" t="s">
        <v>47</v>
      </c>
      <c r="E378" s="18" t="s">
        <v>14</v>
      </c>
      <c r="F378" s="31">
        <v>6818.16</v>
      </c>
      <c r="G378" s="31"/>
      <c r="H378" s="37">
        <f t="shared" ca="1" si="4"/>
        <v>-4545.1779999999999</v>
      </c>
    </row>
    <row r="379" spans="1:8" x14ac:dyDescent="0.2">
      <c r="A379" s="17">
        <v>45051</v>
      </c>
      <c r="B379" s="18"/>
      <c r="C379" s="19" t="s">
        <v>52</v>
      </c>
      <c r="D379" s="30"/>
      <c r="E379" s="18" t="s">
        <v>14</v>
      </c>
      <c r="F379" s="31"/>
      <c r="G379" s="31">
        <v>5000</v>
      </c>
      <c r="H379" s="37">
        <f t="shared" ca="1" si="4"/>
        <v>454.82200000000012</v>
      </c>
    </row>
    <row r="380" spans="1:8" x14ac:dyDescent="0.2">
      <c r="A380" s="17">
        <v>45052</v>
      </c>
      <c r="B380" s="18"/>
      <c r="C380" s="19" t="s">
        <v>250</v>
      </c>
      <c r="D380" s="30" t="s">
        <v>32</v>
      </c>
      <c r="E380" s="18" t="s">
        <v>14</v>
      </c>
      <c r="F380" s="31">
        <v>367</v>
      </c>
      <c r="G380" s="31"/>
      <c r="H380" s="37">
        <f t="shared" ca="1" si="2"/>
        <v>87.822000000000116</v>
      </c>
    </row>
    <row r="381" spans="1:8" x14ac:dyDescent="0.2">
      <c r="A381" s="17">
        <v>45055</v>
      </c>
      <c r="B381" s="18">
        <v>1405</v>
      </c>
      <c r="C381" s="19" t="s">
        <v>315</v>
      </c>
      <c r="D381" s="30"/>
      <c r="E381" s="18" t="s">
        <v>14</v>
      </c>
      <c r="F381" s="31">
        <v>386</v>
      </c>
      <c r="G381" s="31"/>
      <c r="H381" s="37">
        <f t="shared" ca="1" si="2"/>
        <v>-298.17799999999988</v>
      </c>
    </row>
    <row r="382" spans="1:8" x14ac:dyDescent="0.2">
      <c r="A382" s="17">
        <v>45055</v>
      </c>
      <c r="B382" s="18"/>
      <c r="C382" s="19" t="s">
        <v>52</v>
      </c>
      <c r="D382" s="30"/>
      <c r="E382" s="18" t="s">
        <v>14</v>
      </c>
      <c r="F382" s="31"/>
      <c r="G382" s="31">
        <v>300</v>
      </c>
      <c r="H382" s="37">
        <f t="shared" ca="1" si="2"/>
        <v>1.8220000000001164</v>
      </c>
    </row>
    <row r="383" spans="1:8" x14ac:dyDescent="0.2">
      <c r="A383" s="17">
        <v>45065</v>
      </c>
      <c r="B383" s="18"/>
      <c r="C383" s="19" t="s">
        <v>33</v>
      </c>
      <c r="D383" s="30" t="s">
        <v>40</v>
      </c>
      <c r="E383" s="18" t="s">
        <v>14</v>
      </c>
      <c r="F383" s="31"/>
      <c r="G383" s="31">
        <v>3224.63</v>
      </c>
      <c r="H383" s="37">
        <f t="shared" ca="1" si="2"/>
        <v>3226.4520000000002</v>
      </c>
    </row>
    <row r="384" spans="1:8" x14ac:dyDescent="0.2">
      <c r="A384" s="17">
        <v>45063</v>
      </c>
      <c r="B384" s="18">
        <v>1407</v>
      </c>
      <c r="C384" s="19" t="s">
        <v>295</v>
      </c>
      <c r="D384" s="30"/>
      <c r="E384" s="18" t="s">
        <v>14</v>
      </c>
      <c r="F384" s="31">
        <v>35</v>
      </c>
      <c r="G384" s="31"/>
      <c r="H384" s="37">
        <f t="shared" ca="1" si="2"/>
        <v>3191.4520000000002</v>
      </c>
    </row>
    <row r="385" spans="1:8" x14ac:dyDescent="0.2">
      <c r="A385" s="17">
        <v>45065</v>
      </c>
      <c r="B385" s="18"/>
      <c r="C385" s="19" t="s">
        <v>36</v>
      </c>
      <c r="D385" s="30" t="s">
        <v>278</v>
      </c>
      <c r="E385" s="18" t="s">
        <v>14</v>
      </c>
      <c r="F385" s="31">
        <v>397.43</v>
      </c>
      <c r="G385" s="31"/>
      <c r="H385" s="37">
        <f t="shared" ref="H385:H447" ca="1" si="5">IF(AND(ISBLANK(F385),ISBLANK(G385)),"",OFFSET(H385,-1,0,1,1)+G385-F385)</f>
        <v>2794.0220000000004</v>
      </c>
    </row>
    <row r="386" spans="1:8" x14ac:dyDescent="0.2">
      <c r="A386" s="17">
        <v>45065</v>
      </c>
      <c r="B386" s="18"/>
      <c r="C386" s="19" t="s">
        <v>27</v>
      </c>
      <c r="D386" s="30" t="s">
        <v>30</v>
      </c>
      <c r="E386" s="18" t="s">
        <v>14</v>
      </c>
      <c r="F386" s="31">
        <v>79.709999999999994</v>
      </c>
      <c r="G386" s="31"/>
      <c r="H386" s="37">
        <f t="shared" ca="1" si="5"/>
        <v>2714.3120000000004</v>
      </c>
    </row>
    <row r="387" spans="1:8" x14ac:dyDescent="0.2">
      <c r="A387" s="17">
        <v>45065</v>
      </c>
      <c r="B387" s="18"/>
      <c r="C387" s="19" t="s">
        <v>259</v>
      </c>
      <c r="D387" s="30" t="s">
        <v>38</v>
      </c>
      <c r="E387" s="18" t="s">
        <v>14</v>
      </c>
      <c r="F387" s="31">
        <v>79.989999999999995</v>
      </c>
      <c r="G387" s="31"/>
      <c r="H387" s="37">
        <f t="shared" ca="1" si="5"/>
        <v>2634.3220000000006</v>
      </c>
    </row>
    <row r="388" spans="1:8" x14ac:dyDescent="0.2">
      <c r="A388" s="17">
        <v>45068</v>
      </c>
      <c r="B388" s="18">
        <v>1408</v>
      </c>
      <c r="C388" s="19" t="s">
        <v>308</v>
      </c>
      <c r="D388" s="30" t="s">
        <v>316</v>
      </c>
      <c r="E388" s="18" t="s">
        <v>14</v>
      </c>
      <c r="F388" s="31">
        <v>25</v>
      </c>
      <c r="G388" s="31"/>
      <c r="H388" s="37">
        <f t="shared" ca="1" si="5"/>
        <v>2609.3220000000006</v>
      </c>
    </row>
    <row r="389" spans="1:8" x14ac:dyDescent="0.2">
      <c r="A389" s="17">
        <v>45073</v>
      </c>
      <c r="B389" s="18"/>
      <c r="C389" s="19" t="s">
        <v>250</v>
      </c>
      <c r="D389" s="30" t="s">
        <v>32</v>
      </c>
      <c r="E389" s="18" t="s">
        <v>14</v>
      </c>
      <c r="F389" s="31">
        <v>382</v>
      </c>
      <c r="G389" s="31"/>
      <c r="H389" s="37">
        <f t="shared" ca="1" si="5"/>
        <v>2227.3220000000006</v>
      </c>
    </row>
    <row r="390" spans="1:8" x14ac:dyDescent="0.2">
      <c r="A390" s="17">
        <v>45076</v>
      </c>
      <c r="B390" s="18"/>
      <c r="C390" s="19" t="s">
        <v>28</v>
      </c>
      <c r="D390" s="30" t="s">
        <v>55</v>
      </c>
      <c r="E390" s="18" t="s">
        <v>14</v>
      </c>
      <c r="F390" s="31">
        <v>1178.45</v>
      </c>
      <c r="G390" s="31"/>
      <c r="H390" s="37">
        <f t="shared" ca="1" si="5"/>
        <v>1048.8720000000005</v>
      </c>
    </row>
    <row r="391" spans="1:8" x14ac:dyDescent="0.2">
      <c r="A391" s="17">
        <v>45076</v>
      </c>
      <c r="B391" s="18"/>
      <c r="C391" s="19" t="s">
        <v>317</v>
      </c>
      <c r="D391" s="30" t="s">
        <v>45</v>
      </c>
      <c r="E391" s="18" t="s">
        <v>14</v>
      </c>
      <c r="F391" s="31">
        <v>250.74</v>
      </c>
      <c r="G391" s="31"/>
      <c r="H391" s="37">
        <f t="shared" ca="1" si="5"/>
        <v>798.13200000000052</v>
      </c>
    </row>
    <row r="392" spans="1:8" x14ac:dyDescent="0.2">
      <c r="A392" s="17">
        <v>45079</v>
      </c>
      <c r="B392" s="18"/>
      <c r="C392" s="19" t="s">
        <v>66</v>
      </c>
      <c r="D392" s="30" t="s">
        <v>318</v>
      </c>
      <c r="E392" s="18" t="s">
        <v>14</v>
      </c>
      <c r="F392" s="31"/>
      <c r="G392" s="31">
        <v>54.73</v>
      </c>
      <c r="H392" s="37">
        <f t="shared" ca="1" si="5"/>
        <v>852.86200000000053</v>
      </c>
    </row>
    <row r="393" spans="1:8" x14ac:dyDescent="0.2">
      <c r="A393" s="17">
        <v>45079</v>
      </c>
      <c r="B393" s="18"/>
      <c r="C393" s="19" t="s">
        <v>33</v>
      </c>
      <c r="D393" s="30" t="s">
        <v>40</v>
      </c>
      <c r="E393" s="18" t="s">
        <v>14</v>
      </c>
      <c r="F393" s="31"/>
      <c r="G393" s="31">
        <v>3224.63</v>
      </c>
      <c r="H393" s="37">
        <f t="shared" ca="1" si="5"/>
        <v>4077.4920000000006</v>
      </c>
    </row>
    <row r="394" spans="1:8" x14ac:dyDescent="0.2">
      <c r="A394" s="17">
        <v>45076</v>
      </c>
      <c r="B394" s="18"/>
      <c r="C394" s="19" t="s">
        <v>66</v>
      </c>
      <c r="D394" s="30"/>
      <c r="E394" s="18" t="s">
        <v>14</v>
      </c>
      <c r="F394" s="31">
        <v>25</v>
      </c>
      <c r="G394" s="31"/>
      <c r="H394" s="37">
        <f t="shared" ca="1" si="5"/>
        <v>4052.4920000000006</v>
      </c>
    </row>
    <row r="395" spans="1:8" x14ac:dyDescent="0.2">
      <c r="A395" s="17">
        <v>45076</v>
      </c>
      <c r="B395" s="18"/>
      <c r="C395" s="19" t="s">
        <v>33</v>
      </c>
      <c r="D395" s="30" t="s">
        <v>34</v>
      </c>
      <c r="E395" s="18" t="s">
        <v>14</v>
      </c>
      <c r="F395" s="31">
        <v>25</v>
      </c>
      <c r="G395" s="31"/>
      <c r="H395" s="37">
        <f t="shared" ca="1" si="5"/>
        <v>4027.4920000000006</v>
      </c>
    </row>
    <row r="396" spans="1:8" x14ac:dyDescent="0.2">
      <c r="A396" s="17">
        <v>45076</v>
      </c>
      <c r="B396" s="18"/>
      <c r="C396" s="19" t="s">
        <v>33</v>
      </c>
      <c r="D396" s="30" t="s">
        <v>34</v>
      </c>
      <c r="E396" s="18" t="s">
        <v>14</v>
      </c>
      <c r="F396" s="31">
        <v>30</v>
      </c>
      <c r="G396" s="31"/>
      <c r="H396" s="37">
        <f t="shared" ca="1" si="5"/>
        <v>3997.4920000000006</v>
      </c>
    </row>
    <row r="397" spans="1:8" x14ac:dyDescent="0.2">
      <c r="A397" s="17">
        <v>45081</v>
      </c>
      <c r="B397" s="18"/>
      <c r="C397" s="19" t="s">
        <v>271</v>
      </c>
      <c r="D397" s="30" t="s">
        <v>47</v>
      </c>
      <c r="E397" s="18" t="s">
        <v>14</v>
      </c>
      <c r="F397" s="31">
        <v>4780.8599999999997</v>
      </c>
      <c r="G397" s="31"/>
      <c r="H397" s="37">
        <f t="shared" ca="1" si="5"/>
        <v>-783.36799999999903</v>
      </c>
    </row>
    <row r="398" spans="1:8" x14ac:dyDescent="0.2">
      <c r="A398" s="17">
        <v>45081</v>
      </c>
      <c r="B398" s="18"/>
      <c r="C398" s="19" t="s">
        <v>52</v>
      </c>
      <c r="D398" s="30"/>
      <c r="E398" s="18" t="s">
        <v>14</v>
      </c>
      <c r="F398" s="31"/>
      <c r="G398" s="31">
        <v>800</v>
      </c>
      <c r="H398" s="37">
        <f t="shared" ca="1" si="5"/>
        <v>16.632000000000971</v>
      </c>
    </row>
    <row r="399" spans="1:8" x14ac:dyDescent="0.2">
      <c r="A399" s="17">
        <v>45081</v>
      </c>
      <c r="B399" s="18"/>
      <c r="C399" s="19" t="s">
        <v>33</v>
      </c>
      <c r="D399" s="30" t="s">
        <v>277</v>
      </c>
      <c r="E399" s="18" t="s">
        <v>14</v>
      </c>
      <c r="F399" s="31"/>
      <c r="G399" s="31">
        <v>15</v>
      </c>
      <c r="H399" s="37">
        <f t="shared" ca="1" si="5"/>
        <v>31.632000000000971</v>
      </c>
    </row>
    <row r="400" spans="1:8" x14ac:dyDescent="0.2">
      <c r="A400" s="17">
        <v>45081</v>
      </c>
      <c r="B400" s="18"/>
      <c r="C400" s="19" t="s">
        <v>66</v>
      </c>
      <c r="D400" s="30" t="s">
        <v>318</v>
      </c>
      <c r="E400" s="18" t="s">
        <v>14</v>
      </c>
      <c r="F400" s="31"/>
      <c r="G400" s="31">
        <v>54.73</v>
      </c>
      <c r="H400" s="37">
        <f t="shared" ca="1" si="5"/>
        <v>86.362000000000961</v>
      </c>
    </row>
    <row r="401" spans="1:8" x14ac:dyDescent="0.2">
      <c r="A401" s="17">
        <v>45087</v>
      </c>
      <c r="B401" s="18"/>
      <c r="C401" s="19" t="s">
        <v>33</v>
      </c>
      <c r="D401" s="30" t="s">
        <v>319</v>
      </c>
      <c r="E401" s="18" t="s">
        <v>14</v>
      </c>
      <c r="F401" s="31"/>
      <c r="G401" s="31">
        <v>550.05999999999995</v>
      </c>
      <c r="H401" s="37">
        <f t="shared" ca="1" si="5"/>
        <v>636.42200000000093</v>
      </c>
    </row>
    <row r="402" spans="1:8" x14ac:dyDescent="0.2">
      <c r="A402" s="17">
        <v>45089</v>
      </c>
      <c r="B402" s="18"/>
      <c r="C402" s="19" t="s">
        <v>242</v>
      </c>
      <c r="D402" s="30" t="s">
        <v>284</v>
      </c>
      <c r="E402" s="18" t="s">
        <v>14</v>
      </c>
      <c r="F402" s="31">
        <v>33</v>
      </c>
      <c r="G402" s="31"/>
      <c r="H402" s="37">
        <f t="shared" ca="1" si="5"/>
        <v>603.42200000000093</v>
      </c>
    </row>
    <row r="403" spans="1:8" x14ac:dyDescent="0.2">
      <c r="A403" s="17">
        <v>45089</v>
      </c>
      <c r="B403" s="18"/>
      <c r="C403" s="19" t="s">
        <v>320</v>
      </c>
      <c r="D403" s="30" t="s">
        <v>47</v>
      </c>
      <c r="E403" s="18" t="s">
        <v>14</v>
      </c>
      <c r="F403" s="31">
        <v>14.92</v>
      </c>
      <c r="G403" s="31"/>
      <c r="H403" s="37">
        <f t="shared" ca="1" si="5"/>
        <v>588.50200000000098</v>
      </c>
    </row>
    <row r="404" spans="1:8" x14ac:dyDescent="0.2">
      <c r="A404" s="17">
        <v>45089</v>
      </c>
      <c r="B404" s="18"/>
      <c r="C404" s="19" t="s">
        <v>33</v>
      </c>
      <c r="D404" s="30" t="s">
        <v>321</v>
      </c>
      <c r="E404" s="18" t="s">
        <v>14</v>
      </c>
      <c r="F404" s="31"/>
      <c r="G404" s="31">
        <v>129</v>
      </c>
      <c r="H404" s="37">
        <f t="shared" ca="1" si="5"/>
        <v>717.50200000000098</v>
      </c>
    </row>
    <row r="405" spans="1:8" x14ac:dyDescent="0.2">
      <c r="A405" s="17">
        <v>45091</v>
      </c>
      <c r="B405" s="18"/>
      <c r="C405" s="19" t="s">
        <v>66</v>
      </c>
      <c r="D405" s="30" t="s">
        <v>322</v>
      </c>
      <c r="E405" s="18" t="s">
        <v>14</v>
      </c>
      <c r="F405" s="31">
        <v>37.5</v>
      </c>
      <c r="G405" s="31"/>
      <c r="H405" s="37">
        <f t="shared" ca="1" si="5"/>
        <v>680.00200000000098</v>
      </c>
    </row>
    <row r="406" spans="1:8" x14ac:dyDescent="0.2">
      <c r="A406" s="17">
        <v>45092</v>
      </c>
      <c r="B406" s="18"/>
      <c r="C406" s="19" t="s">
        <v>33</v>
      </c>
      <c r="D406" s="30" t="s">
        <v>40</v>
      </c>
      <c r="E406" s="18" t="s">
        <v>14</v>
      </c>
      <c r="F406" s="31"/>
      <c r="G406" s="31">
        <v>3224.61</v>
      </c>
      <c r="H406" s="37">
        <f t="shared" ca="1" si="5"/>
        <v>3904.612000000001</v>
      </c>
    </row>
    <row r="407" spans="1:8" x14ac:dyDescent="0.2">
      <c r="A407" s="17">
        <v>45093</v>
      </c>
      <c r="B407" s="18"/>
      <c r="C407" s="19" t="s">
        <v>46</v>
      </c>
      <c r="D407" s="30" t="s">
        <v>47</v>
      </c>
      <c r="E407" s="18" t="s">
        <v>14</v>
      </c>
      <c r="F407" s="31">
        <v>228.52</v>
      </c>
      <c r="G407" s="31"/>
      <c r="H407" s="37">
        <f t="shared" ca="1" si="5"/>
        <v>3676.092000000001</v>
      </c>
    </row>
    <row r="408" spans="1:8" x14ac:dyDescent="0.2">
      <c r="A408" s="17">
        <v>45093</v>
      </c>
      <c r="B408" s="18"/>
      <c r="C408" s="19" t="s">
        <v>27</v>
      </c>
      <c r="D408" s="30" t="s">
        <v>30</v>
      </c>
      <c r="E408" s="18" t="s">
        <v>14</v>
      </c>
      <c r="F408" s="31">
        <v>158.11000000000001</v>
      </c>
      <c r="G408" s="31"/>
      <c r="H408" s="37">
        <f t="shared" ca="1" si="5"/>
        <v>3517.9820000000009</v>
      </c>
    </row>
    <row r="409" spans="1:8" x14ac:dyDescent="0.2">
      <c r="A409" s="17">
        <v>45093</v>
      </c>
      <c r="B409" s="18"/>
      <c r="C409" s="19" t="s">
        <v>36</v>
      </c>
      <c r="D409" s="30" t="s">
        <v>278</v>
      </c>
      <c r="E409" s="18" t="s">
        <v>14</v>
      </c>
      <c r="F409" s="31">
        <v>397.43</v>
      </c>
      <c r="G409" s="31"/>
      <c r="H409" s="37">
        <f t="shared" ca="1" si="5"/>
        <v>3120.552000000001</v>
      </c>
    </row>
    <row r="410" spans="1:8" x14ac:dyDescent="0.2">
      <c r="A410" s="17">
        <v>45093</v>
      </c>
      <c r="B410" s="18"/>
      <c r="C410" s="19" t="s">
        <v>36</v>
      </c>
      <c r="D410" s="30" t="s">
        <v>323</v>
      </c>
      <c r="E410" s="18" t="s">
        <v>14</v>
      </c>
      <c r="F410" s="31">
        <v>395.76</v>
      </c>
      <c r="G410" s="31"/>
      <c r="H410" s="37">
        <f t="shared" ca="1" si="5"/>
        <v>2724.7920000000013</v>
      </c>
    </row>
    <row r="411" spans="1:8" x14ac:dyDescent="0.2">
      <c r="A411" s="17">
        <v>45094</v>
      </c>
      <c r="B411" s="18"/>
      <c r="C411" s="19" t="s">
        <v>250</v>
      </c>
      <c r="D411" s="30" t="s">
        <v>32</v>
      </c>
      <c r="E411" s="18" t="s">
        <v>14</v>
      </c>
      <c r="F411" s="31">
        <v>474</v>
      </c>
      <c r="G411" s="31"/>
      <c r="H411" s="37">
        <f t="shared" ca="1" si="5"/>
        <v>2250.7920000000013</v>
      </c>
    </row>
    <row r="412" spans="1:8" x14ac:dyDescent="0.2">
      <c r="A412" s="17">
        <v>45094</v>
      </c>
      <c r="B412" s="18"/>
      <c r="C412" s="19" t="s">
        <v>259</v>
      </c>
      <c r="D412" s="30" t="s">
        <v>38</v>
      </c>
      <c r="E412" s="18" t="s">
        <v>14</v>
      </c>
      <c r="F412" s="31">
        <v>79.989999999999995</v>
      </c>
      <c r="G412" s="31"/>
      <c r="H412" s="37">
        <f t="shared" ca="1" si="5"/>
        <v>2170.8020000000015</v>
      </c>
    </row>
    <row r="413" spans="1:8" x14ac:dyDescent="0.2">
      <c r="A413" s="17">
        <v>45100</v>
      </c>
      <c r="B413" s="18"/>
      <c r="C413" s="19" t="s">
        <v>324</v>
      </c>
      <c r="D413" s="30"/>
      <c r="E413" s="18" t="s">
        <v>14</v>
      </c>
      <c r="F413" s="31">
        <v>16.989999999999998</v>
      </c>
      <c r="G413" s="31"/>
      <c r="H413" s="37">
        <f t="shared" ca="1" si="5"/>
        <v>2153.8120000000017</v>
      </c>
    </row>
    <row r="414" spans="1:8" x14ac:dyDescent="0.2">
      <c r="A414" s="17">
        <v>45100</v>
      </c>
      <c r="B414" s="18"/>
      <c r="C414" s="19" t="s">
        <v>325</v>
      </c>
      <c r="D414" s="30"/>
      <c r="E414" s="18" t="s">
        <v>14</v>
      </c>
      <c r="F414" s="31">
        <v>8.43</v>
      </c>
      <c r="G414" s="31"/>
      <c r="H414" s="37">
        <f t="shared" ca="1" si="5"/>
        <v>2145.3820000000019</v>
      </c>
    </row>
    <row r="415" spans="1:8" x14ac:dyDescent="0.2">
      <c r="A415" s="17">
        <v>45107</v>
      </c>
      <c r="B415" s="18"/>
      <c r="C415" s="19" t="s">
        <v>33</v>
      </c>
      <c r="D415" s="30" t="s">
        <v>40</v>
      </c>
      <c r="E415" s="18" t="s">
        <v>14</v>
      </c>
      <c r="F415" s="31"/>
      <c r="G415" s="31">
        <v>3224.64</v>
      </c>
      <c r="H415" s="37">
        <f t="shared" ca="1" si="5"/>
        <v>5370.0220000000018</v>
      </c>
    </row>
    <row r="416" spans="1:8" x14ac:dyDescent="0.2">
      <c r="A416" s="17">
        <v>45107</v>
      </c>
      <c r="B416" s="18"/>
      <c r="C416" s="19" t="s">
        <v>29</v>
      </c>
      <c r="D416" s="30" t="s">
        <v>45</v>
      </c>
      <c r="E416" s="18" t="s">
        <v>14</v>
      </c>
      <c r="F416" s="31">
        <v>242.97</v>
      </c>
      <c r="G416" s="31"/>
      <c r="H416" s="37">
        <f t="shared" ca="1" si="5"/>
        <v>5127.0520000000015</v>
      </c>
    </row>
    <row r="417" spans="1:8" x14ac:dyDescent="0.2">
      <c r="A417" s="17">
        <v>45107</v>
      </c>
      <c r="B417" s="18"/>
      <c r="C417" s="19" t="s">
        <v>28</v>
      </c>
      <c r="D417" s="30" t="s">
        <v>55</v>
      </c>
      <c r="E417" s="18" t="s">
        <v>14</v>
      </c>
      <c r="F417" s="31">
        <v>1178.45</v>
      </c>
      <c r="G417" s="31"/>
      <c r="H417" s="37">
        <f t="shared" ca="1" si="5"/>
        <v>3948.6020000000017</v>
      </c>
    </row>
    <row r="418" spans="1:8" x14ac:dyDescent="0.2">
      <c r="A418" s="17">
        <v>45112</v>
      </c>
      <c r="B418" s="18"/>
      <c r="C418" s="19" t="s">
        <v>271</v>
      </c>
      <c r="D418" s="30" t="s">
        <v>47</v>
      </c>
      <c r="E418" s="18" t="s">
        <v>14</v>
      </c>
      <c r="F418" s="31">
        <v>5377.58</v>
      </c>
      <c r="G418" s="31"/>
      <c r="H418" s="37">
        <f t="shared" ca="1" si="5"/>
        <v>-1428.9779999999982</v>
      </c>
    </row>
    <row r="419" spans="1:8" x14ac:dyDescent="0.2">
      <c r="A419" s="17">
        <v>45112</v>
      </c>
      <c r="B419" s="18"/>
      <c r="C419" s="19" t="s">
        <v>52</v>
      </c>
      <c r="D419" s="30"/>
      <c r="E419" s="18" t="s">
        <v>14</v>
      </c>
      <c r="F419" s="31"/>
      <c r="G419" s="31">
        <v>1370</v>
      </c>
      <c r="H419" s="37">
        <f t="shared" ca="1" si="5"/>
        <v>-58.977999999998246</v>
      </c>
    </row>
    <row r="420" spans="1:8" x14ac:dyDescent="0.2">
      <c r="A420" s="17">
        <v>45112</v>
      </c>
      <c r="B420" s="18"/>
      <c r="C420" s="19" t="s">
        <v>33</v>
      </c>
      <c r="D420" s="30" t="s">
        <v>326</v>
      </c>
      <c r="E420" s="18" t="s">
        <v>14</v>
      </c>
      <c r="F420" s="31"/>
      <c r="G420" s="31">
        <v>14</v>
      </c>
      <c r="H420" s="37">
        <f t="shared" ca="1" si="5"/>
        <v>-44.977999999998246</v>
      </c>
    </row>
    <row r="421" spans="1:8" x14ac:dyDescent="0.2">
      <c r="A421" s="17">
        <v>45112</v>
      </c>
      <c r="B421" s="18"/>
      <c r="C421" s="19" t="s">
        <v>66</v>
      </c>
      <c r="D421" s="30" t="s">
        <v>318</v>
      </c>
      <c r="E421" s="18" t="s">
        <v>14</v>
      </c>
      <c r="F421" s="31"/>
      <c r="G421" s="31">
        <v>54.73</v>
      </c>
      <c r="H421" s="37">
        <f t="shared" ca="1" si="5"/>
        <v>9.7520000000017504</v>
      </c>
    </row>
    <row r="422" spans="1:8" x14ac:dyDescent="0.2">
      <c r="A422" s="17">
        <v>45117</v>
      </c>
      <c r="B422" s="18"/>
      <c r="C422" s="19" t="s">
        <v>66</v>
      </c>
      <c r="D422" s="30" t="s">
        <v>306</v>
      </c>
      <c r="E422" s="18" t="s">
        <v>14</v>
      </c>
      <c r="F422" s="31">
        <v>25</v>
      </c>
      <c r="G422" s="31"/>
      <c r="H422" s="37">
        <f t="shared" ca="1" si="5"/>
        <v>-15.24799999999825</v>
      </c>
    </row>
    <row r="423" spans="1:8" x14ac:dyDescent="0.2">
      <c r="A423" s="17">
        <v>45119</v>
      </c>
      <c r="B423" s="18"/>
      <c r="C423" s="19" t="s">
        <v>250</v>
      </c>
      <c r="D423" s="30" t="s">
        <v>32</v>
      </c>
      <c r="E423" s="18" t="s">
        <v>14</v>
      </c>
      <c r="F423" s="31">
        <v>349</v>
      </c>
      <c r="G423" s="31"/>
      <c r="H423" s="37">
        <f t="shared" ca="1" si="5"/>
        <v>-364.24799999999823</v>
      </c>
    </row>
    <row r="424" spans="1:8" x14ac:dyDescent="0.2">
      <c r="A424" s="17">
        <v>45121</v>
      </c>
      <c r="B424" s="18"/>
      <c r="C424" s="19" t="s">
        <v>33</v>
      </c>
      <c r="D424" s="30" t="s">
        <v>40</v>
      </c>
      <c r="E424" s="18" t="s">
        <v>14</v>
      </c>
      <c r="F424" s="31"/>
      <c r="G424" s="31">
        <v>3224.64</v>
      </c>
      <c r="H424" s="37">
        <f t="shared" ca="1" si="5"/>
        <v>2860.3920000000016</v>
      </c>
    </row>
    <row r="425" spans="1:8" x14ac:dyDescent="0.2">
      <c r="A425" s="17">
        <v>45121</v>
      </c>
      <c r="B425" s="18"/>
      <c r="C425" s="19" t="s">
        <v>242</v>
      </c>
      <c r="D425" s="30" t="s">
        <v>284</v>
      </c>
      <c r="E425" s="18" t="s">
        <v>14</v>
      </c>
      <c r="F425" s="31">
        <v>88.3</v>
      </c>
      <c r="G425" s="31"/>
      <c r="H425" s="37">
        <f t="shared" ca="1" si="5"/>
        <v>2772.0920000000015</v>
      </c>
    </row>
    <row r="426" spans="1:8" x14ac:dyDescent="0.2">
      <c r="A426" s="17">
        <v>45121</v>
      </c>
      <c r="B426" s="18"/>
      <c r="C426" s="19" t="s">
        <v>46</v>
      </c>
      <c r="D426" s="30" t="s">
        <v>47</v>
      </c>
      <c r="E426" s="18" t="s">
        <v>14</v>
      </c>
      <c r="F426" s="31">
        <v>141.96</v>
      </c>
      <c r="G426" s="31"/>
      <c r="H426" s="37">
        <f t="shared" ca="1" si="5"/>
        <v>2630.1320000000014</v>
      </c>
    </row>
    <row r="427" spans="1:8" x14ac:dyDescent="0.2">
      <c r="A427" s="17">
        <v>45121</v>
      </c>
      <c r="B427" s="18"/>
      <c r="C427" s="19" t="s">
        <v>36</v>
      </c>
      <c r="D427" s="30" t="s">
        <v>278</v>
      </c>
      <c r="E427" s="18" t="s">
        <v>14</v>
      </c>
      <c r="F427" s="31">
        <v>397.43</v>
      </c>
      <c r="G427" s="31"/>
      <c r="H427" s="37">
        <f t="shared" ca="1" si="5"/>
        <v>2232.7020000000016</v>
      </c>
    </row>
    <row r="428" spans="1:8" x14ac:dyDescent="0.2">
      <c r="A428" s="17">
        <v>45121</v>
      </c>
      <c r="B428" s="18"/>
      <c r="C428" s="19" t="s">
        <v>27</v>
      </c>
      <c r="D428" s="30" t="s">
        <v>30</v>
      </c>
      <c r="E428" s="18" t="s">
        <v>14</v>
      </c>
      <c r="F428" s="31">
        <v>137.47</v>
      </c>
      <c r="G428" s="31"/>
      <c r="H428" s="37">
        <f t="shared" ca="1" si="5"/>
        <v>2095.2320000000018</v>
      </c>
    </row>
    <row r="429" spans="1:8" x14ac:dyDescent="0.2">
      <c r="A429" s="17">
        <v>45132</v>
      </c>
      <c r="B429" s="18"/>
      <c r="C429" s="19" t="s">
        <v>259</v>
      </c>
      <c r="D429" s="30" t="s">
        <v>38</v>
      </c>
      <c r="E429" s="18" t="s">
        <v>14</v>
      </c>
      <c r="F429" s="31">
        <v>79.989999999999995</v>
      </c>
      <c r="G429" s="31"/>
      <c r="H429" s="37">
        <f t="shared" ca="1" si="5"/>
        <v>2015.2420000000018</v>
      </c>
    </row>
    <row r="430" spans="1:8" x14ac:dyDescent="0.2">
      <c r="A430" s="17">
        <v>45135</v>
      </c>
      <c r="B430" s="18"/>
      <c r="C430" s="19" t="s">
        <v>33</v>
      </c>
      <c r="D430" s="30" t="s">
        <v>40</v>
      </c>
      <c r="E430" s="18" t="s">
        <v>14</v>
      </c>
      <c r="F430" s="31"/>
      <c r="G430" s="31">
        <v>3224.64</v>
      </c>
      <c r="H430" s="37">
        <f t="shared" ca="1" si="5"/>
        <v>5239.8820000000014</v>
      </c>
    </row>
    <row r="431" spans="1:8" x14ac:dyDescent="0.2">
      <c r="A431" s="17">
        <v>45134</v>
      </c>
      <c r="B431" s="18"/>
      <c r="C431" s="19" t="s">
        <v>33</v>
      </c>
      <c r="D431" s="30" t="s">
        <v>327</v>
      </c>
      <c r="E431" s="18" t="s">
        <v>14</v>
      </c>
      <c r="F431" s="31"/>
      <c r="G431" s="31">
        <v>1651.87</v>
      </c>
      <c r="H431" s="37">
        <f t="shared" ca="1" si="5"/>
        <v>6891.7520000000013</v>
      </c>
    </row>
    <row r="432" spans="1:8" x14ac:dyDescent="0.2">
      <c r="A432" s="17">
        <v>45134</v>
      </c>
      <c r="B432" s="18">
        <v>1409</v>
      </c>
      <c r="C432" s="19" t="s">
        <v>328</v>
      </c>
      <c r="D432" s="30"/>
      <c r="E432" s="18" t="s">
        <v>14</v>
      </c>
      <c r="F432" s="31">
        <v>1651.87</v>
      </c>
      <c r="G432" s="31"/>
      <c r="H432" s="37">
        <f t="shared" ca="1" si="5"/>
        <v>5239.8820000000014</v>
      </c>
    </row>
    <row r="433" spans="1:8" x14ac:dyDescent="0.2">
      <c r="A433" s="17">
        <v>45134</v>
      </c>
      <c r="B433" s="18"/>
      <c r="C433" s="19" t="s">
        <v>29</v>
      </c>
      <c r="D433" s="30" t="s">
        <v>45</v>
      </c>
      <c r="E433" s="18" t="s">
        <v>14</v>
      </c>
      <c r="F433" s="31">
        <v>243.03</v>
      </c>
      <c r="G433" s="31"/>
      <c r="H433" s="37">
        <f t="shared" ca="1" si="5"/>
        <v>4996.8520000000017</v>
      </c>
    </row>
    <row r="434" spans="1:8" x14ac:dyDescent="0.2">
      <c r="A434" s="17">
        <v>45134</v>
      </c>
      <c r="B434" s="18"/>
      <c r="C434" s="19" t="s">
        <v>28</v>
      </c>
      <c r="D434" s="30" t="s">
        <v>55</v>
      </c>
      <c r="E434" s="18" t="s">
        <v>14</v>
      </c>
      <c r="F434" s="31">
        <v>1178.45</v>
      </c>
      <c r="G434" s="31"/>
      <c r="H434" s="37">
        <f t="shared" ca="1" si="5"/>
        <v>3818.4020000000019</v>
      </c>
    </row>
    <row r="435" spans="1:8" x14ac:dyDescent="0.2">
      <c r="A435" s="17">
        <v>45145</v>
      </c>
      <c r="B435" s="18"/>
      <c r="C435" s="19" t="s">
        <v>271</v>
      </c>
      <c r="D435" s="30" t="s">
        <v>47</v>
      </c>
      <c r="E435" s="18" t="s">
        <v>14</v>
      </c>
      <c r="F435" s="31">
        <v>3000</v>
      </c>
      <c r="G435" s="31"/>
      <c r="H435" s="37">
        <f t="shared" ca="1" si="5"/>
        <v>818.40200000000186</v>
      </c>
    </row>
    <row r="436" spans="1:8" x14ac:dyDescent="0.2">
      <c r="A436" s="17">
        <v>45149</v>
      </c>
      <c r="B436" s="18"/>
      <c r="C436" s="19" t="s">
        <v>33</v>
      </c>
      <c r="D436" s="30" t="s">
        <v>40</v>
      </c>
      <c r="E436" s="18" t="s">
        <v>14</v>
      </c>
      <c r="F436" s="31"/>
      <c r="G436" s="31">
        <v>3224.64</v>
      </c>
      <c r="H436" s="37">
        <f t="shared" ca="1" si="5"/>
        <v>4043.0420000000017</v>
      </c>
    </row>
    <row r="437" spans="1:8" x14ac:dyDescent="0.2">
      <c r="A437" s="17">
        <v>45149</v>
      </c>
      <c r="B437" s="18"/>
      <c r="C437" s="19" t="s">
        <v>66</v>
      </c>
      <c r="D437" s="30" t="s">
        <v>318</v>
      </c>
      <c r="E437" s="18" t="s">
        <v>14</v>
      </c>
      <c r="F437" s="31"/>
      <c r="G437" s="31">
        <v>54.75</v>
      </c>
      <c r="H437" s="37">
        <f t="shared" ca="1" si="5"/>
        <v>4097.7920000000013</v>
      </c>
    </row>
    <row r="438" spans="1:8" x14ac:dyDescent="0.2">
      <c r="A438" s="17">
        <v>45138</v>
      </c>
      <c r="B438" s="18"/>
      <c r="C438" s="19" t="s">
        <v>33</v>
      </c>
      <c r="D438" s="30" t="s">
        <v>34</v>
      </c>
      <c r="E438" s="18" t="s">
        <v>14</v>
      </c>
      <c r="F438" s="31">
        <v>250</v>
      </c>
      <c r="G438" s="31"/>
      <c r="H438" s="37">
        <f t="shared" ca="1" si="5"/>
        <v>3847.7920000000013</v>
      </c>
    </row>
    <row r="439" spans="1:8" x14ac:dyDescent="0.2">
      <c r="A439" s="17">
        <v>45149</v>
      </c>
      <c r="B439" s="18"/>
      <c r="C439" s="19" t="s">
        <v>242</v>
      </c>
      <c r="D439" s="30" t="s">
        <v>284</v>
      </c>
      <c r="E439" s="18" t="s">
        <v>14</v>
      </c>
      <c r="F439" s="31">
        <v>78</v>
      </c>
      <c r="G439" s="31"/>
      <c r="H439" s="37">
        <f t="shared" ca="1" si="5"/>
        <v>3769.7920000000013</v>
      </c>
    </row>
    <row r="440" spans="1:8" x14ac:dyDescent="0.2">
      <c r="A440" s="17">
        <v>45149</v>
      </c>
      <c r="B440" s="18"/>
      <c r="C440" s="19" t="s">
        <v>36</v>
      </c>
      <c r="D440" s="30" t="s">
        <v>323</v>
      </c>
      <c r="E440" s="18" t="s">
        <v>14</v>
      </c>
      <c r="F440" s="31">
        <v>395.76</v>
      </c>
      <c r="G440" s="31"/>
      <c r="H440" s="37">
        <f t="shared" ca="1" si="5"/>
        <v>3374.0320000000011</v>
      </c>
    </row>
    <row r="441" spans="1:8" x14ac:dyDescent="0.2">
      <c r="A441" s="17">
        <v>45149</v>
      </c>
      <c r="B441" s="18"/>
      <c r="C441" s="19" t="s">
        <v>304</v>
      </c>
      <c r="D441" s="30" t="s">
        <v>305</v>
      </c>
      <c r="E441" s="18" t="s">
        <v>14</v>
      </c>
      <c r="F441" s="31">
        <v>663</v>
      </c>
      <c r="G441" s="31"/>
      <c r="H441" s="37">
        <f t="shared" ca="1" si="5"/>
        <v>2711.0320000000011</v>
      </c>
    </row>
    <row r="442" spans="1:8" x14ac:dyDescent="0.2">
      <c r="A442" s="17">
        <v>45149</v>
      </c>
      <c r="B442" s="18"/>
      <c r="C442" s="19" t="s">
        <v>46</v>
      </c>
      <c r="D442" s="30" t="s">
        <v>47</v>
      </c>
      <c r="E442" s="18" t="s">
        <v>14</v>
      </c>
      <c r="F442" s="31">
        <v>212.49</v>
      </c>
      <c r="G442" s="31"/>
      <c r="H442" s="37">
        <f t="shared" ca="1" si="5"/>
        <v>2498.5420000000013</v>
      </c>
    </row>
    <row r="443" spans="1:8" x14ac:dyDescent="0.2">
      <c r="A443" s="17">
        <v>45149</v>
      </c>
      <c r="B443" s="18"/>
      <c r="C443" s="19" t="s">
        <v>271</v>
      </c>
      <c r="D443" s="30" t="s">
        <v>47</v>
      </c>
      <c r="E443" s="18" t="s">
        <v>14</v>
      </c>
      <c r="F443" s="31">
        <v>2000</v>
      </c>
      <c r="G443" s="31"/>
      <c r="H443" s="37">
        <f t="shared" ca="1" si="5"/>
        <v>498.54200000000128</v>
      </c>
    </row>
    <row r="444" spans="1:8" x14ac:dyDescent="0.2">
      <c r="A444" s="17">
        <v>45150</v>
      </c>
      <c r="B444" s="18"/>
      <c r="C444" s="19" t="s">
        <v>250</v>
      </c>
      <c r="D444" s="30" t="s">
        <v>32</v>
      </c>
      <c r="E444" s="18" t="s">
        <v>14</v>
      </c>
      <c r="F444" s="31">
        <v>277.39</v>
      </c>
      <c r="G444" s="31"/>
      <c r="H444" s="37">
        <f t="shared" ca="1" si="5"/>
        <v>221.15200000000129</v>
      </c>
    </row>
    <row r="445" spans="1:8" x14ac:dyDescent="0.2">
      <c r="A445" s="17">
        <v>45163</v>
      </c>
      <c r="B445" s="18"/>
      <c r="C445" s="19" t="s">
        <v>33</v>
      </c>
      <c r="D445" s="30" t="s">
        <v>40</v>
      </c>
      <c r="E445" s="18" t="s">
        <v>14</v>
      </c>
      <c r="F445" s="31"/>
      <c r="G445" s="31">
        <v>3224.64</v>
      </c>
      <c r="H445" s="37">
        <f t="shared" ca="1" si="5"/>
        <v>3445.7920000000013</v>
      </c>
    </row>
    <row r="446" spans="1:8" x14ac:dyDescent="0.2">
      <c r="A446" s="17">
        <v>45163</v>
      </c>
      <c r="B446" s="18"/>
      <c r="C446" s="19" t="s">
        <v>36</v>
      </c>
      <c r="D446" s="30" t="s">
        <v>278</v>
      </c>
      <c r="E446" s="18" t="s">
        <v>14</v>
      </c>
      <c r="F446" s="31">
        <v>397.43</v>
      </c>
      <c r="G446" s="31"/>
      <c r="H446" s="37">
        <f t="shared" ca="1" si="5"/>
        <v>3048.3620000000014</v>
      </c>
    </row>
    <row r="447" spans="1:8" x14ac:dyDescent="0.2">
      <c r="A447" s="17">
        <v>45163</v>
      </c>
      <c r="B447" s="18"/>
      <c r="C447" s="19" t="s">
        <v>27</v>
      </c>
      <c r="D447" s="30" t="s">
        <v>30</v>
      </c>
      <c r="E447" s="18" t="s">
        <v>14</v>
      </c>
      <c r="F447" s="31">
        <v>146.57</v>
      </c>
      <c r="G447" s="31"/>
      <c r="H447" s="37">
        <f t="shared" ca="1" si="5"/>
        <v>2901.7920000000013</v>
      </c>
    </row>
    <row r="448" spans="1:8" x14ac:dyDescent="0.2">
      <c r="A448" s="17">
        <v>45163</v>
      </c>
      <c r="B448" s="18"/>
      <c r="C448" s="19" t="s">
        <v>259</v>
      </c>
      <c r="D448" s="30" t="s">
        <v>38</v>
      </c>
      <c r="E448" s="18" t="s">
        <v>14</v>
      </c>
      <c r="F448" s="31">
        <v>79.989999999999995</v>
      </c>
      <c r="G448" s="31"/>
      <c r="H448" s="37">
        <f t="shared" ref="H448:H511" ca="1" si="6">IF(AND(ISBLANK(F448),ISBLANK(G448)),"",OFFSET(H448,-1,0,1,1)+G448-F448)</f>
        <v>2821.8020000000015</v>
      </c>
    </row>
    <row r="449" spans="1:8" x14ac:dyDescent="0.2">
      <c r="A449" s="17">
        <v>45169</v>
      </c>
      <c r="B449" s="18"/>
      <c r="C449" s="19" t="s">
        <v>250</v>
      </c>
      <c r="D449" s="30" t="s">
        <v>32</v>
      </c>
      <c r="E449" s="18" t="s">
        <v>14</v>
      </c>
      <c r="F449" s="31">
        <v>226.18</v>
      </c>
      <c r="G449" s="31"/>
      <c r="H449" s="37">
        <f t="shared" ca="1" si="6"/>
        <v>2595.6220000000017</v>
      </c>
    </row>
    <row r="450" spans="1:8" x14ac:dyDescent="0.2">
      <c r="A450" s="17">
        <v>45169</v>
      </c>
      <c r="B450" s="18"/>
      <c r="C450" s="19" t="s">
        <v>29</v>
      </c>
      <c r="D450" s="30" t="s">
        <v>45</v>
      </c>
      <c r="E450" s="18" t="s">
        <v>14</v>
      </c>
      <c r="F450" s="31">
        <v>243.03</v>
      </c>
      <c r="G450" s="31"/>
      <c r="H450" s="37">
        <f t="shared" ca="1" si="6"/>
        <v>2352.5920000000015</v>
      </c>
    </row>
    <row r="451" spans="1:8" x14ac:dyDescent="0.2">
      <c r="A451" s="17">
        <v>45170</v>
      </c>
      <c r="B451" s="18"/>
      <c r="C451" s="19" t="s">
        <v>28</v>
      </c>
      <c r="D451" s="30" t="s">
        <v>55</v>
      </c>
      <c r="E451" s="18" t="s">
        <v>14</v>
      </c>
      <c r="F451" s="31">
        <v>1178.45</v>
      </c>
      <c r="G451" s="31"/>
      <c r="H451" s="37">
        <f t="shared" ca="1" si="6"/>
        <v>1174.1420000000014</v>
      </c>
    </row>
    <row r="452" spans="1:8" x14ac:dyDescent="0.2">
      <c r="A452" s="17">
        <v>45177</v>
      </c>
      <c r="B452" s="18"/>
      <c r="C452" s="19" t="s">
        <v>33</v>
      </c>
      <c r="D452" s="30" t="s">
        <v>40</v>
      </c>
      <c r="E452" s="18" t="s">
        <v>14</v>
      </c>
      <c r="F452" s="31"/>
      <c r="G452" s="31">
        <v>3224.62</v>
      </c>
      <c r="H452" s="37">
        <f t="shared" ca="1" si="6"/>
        <v>4398.7620000000015</v>
      </c>
    </row>
    <row r="453" spans="1:8" x14ac:dyDescent="0.2">
      <c r="A453" s="17">
        <v>45174</v>
      </c>
      <c r="B453" s="18"/>
      <c r="C453" s="19" t="s">
        <v>33</v>
      </c>
      <c r="D453" s="30" t="s">
        <v>318</v>
      </c>
      <c r="E453" s="18" t="s">
        <v>14</v>
      </c>
      <c r="F453" s="31"/>
      <c r="G453" s="31">
        <v>54.75</v>
      </c>
      <c r="H453" s="37">
        <f t="shared" ca="1" si="6"/>
        <v>4453.5120000000015</v>
      </c>
    </row>
    <row r="454" spans="1:8" x14ac:dyDescent="0.2">
      <c r="A454" s="17">
        <v>45174</v>
      </c>
      <c r="B454" s="18"/>
      <c r="C454" s="19" t="s">
        <v>33</v>
      </c>
      <c r="D454" s="30" t="s">
        <v>329</v>
      </c>
      <c r="E454" s="18" t="s">
        <v>14</v>
      </c>
      <c r="F454" s="31"/>
      <c r="G454" s="31">
        <v>25</v>
      </c>
      <c r="H454" s="37">
        <f t="shared" ca="1" si="6"/>
        <v>4478.5120000000015</v>
      </c>
    </row>
    <row r="455" spans="1:8" x14ac:dyDescent="0.2">
      <c r="A455" s="17">
        <v>45177</v>
      </c>
      <c r="B455" s="18"/>
      <c r="C455" s="19" t="s">
        <v>242</v>
      </c>
      <c r="D455" s="30" t="s">
        <v>284</v>
      </c>
      <c r="E455" s="18" t="s">
        <v>14</v>
      </c>
      <c r="F455" s="31">
        <v>78</v>
      </c>
      <c r="G455" s="31"/>
      <c r="H455" s="37">
        <f t="shared" ca="1" si="6"/>
        <v>4400.5120000000015</v>
      </c>
    </row>
    <row r="456" spans="1:8" x14ac:dyDescent="0.2">
      <c r="A456" s="17">
        <v>45177</v>
      </c>
      <c r="B456" s="18"/>
      <c r="C456" s="19" t="s">
        <v>330</v>
      </c>
      <c r="D456" s="30" t="s">
        <v>47</v>
      </c>
      <c r="E456" s="18" t="s">
        <v>14</v>
      </c>
      <c r="F456" s="31">
        <v>185.07</v>
      </c>
      <c r="G456" s="31"/>
      <c r="H456" s="37">
        <f t="shared" ca="1" si="6"/>
        <v>4215.4420000000018</v>
      </c>
    </row>
    <row r="457" spans="1:8" x14ac:dyDescent="0.2">
      <c r="A457" s="17">
        <v>45177</v>
      </c>
      <c r="B457" s="18"/>
      <c r="C457" s="19" t="s">
        <v>36</v>
      </c>
      <c r="D457" s="30" t="s">
        <v>323</v>
      </c>
      <c r="E457" s="18" t="s">
        <v>14</v>
      </c>
      <c r="F457" s="31">
        <v>395.76</v>
      </c>
      <c r="G457" s="31"/>
      <c r="H457" s="37">
        <f t="shared" ca="1" si="6"/>
        <v>3819.6820000000016</v>
      </c>
    </row>
    <row r="458" spans="1:8" x14ac:dyDescent="0.2">
      <c r="A458" s="17">
        <v>45177</v>
      </c>
      <c r="B458" s="18"/>
      <c r="C458" s="19" t="s">
        <v>271</v>
      </c>
      <c r="D458" s="30" t="s">
        <v>47</v>
      </c>
      <c r="E458" s="18" t="s">
        <v>14</v>
      </c>
      <c r="F458" s="31">
        <v>5044.91</v>
      </c>
      <c r="G458" s="31"/>
      <c r="H458" s="37">
        <f t="shared" ca="1" si="6"/>
        <v>-1225.2279999999982</v>
      </c>
    </row>
    <row r="459" spans="1:8" x14ac:dyDescent="0.2">
      <c r="A459" s="17">
        <v>45177</v>
      </c>
      <c r="B459" s="18"/>
      <c r="C459" s="19" t="s">
        <v>33</v>
      </c>
      <c r="D459" s="30" t="s">
        <v>52</v>
      </c>
      <c r="E459" s="18" t="s">
        <v>14</v>
      </c>
      <c r="F459" s="31"/>
      <c r="G459" s="31">
        <v>1300</v>
      </c>
      <c r="H459" s="37">
        <f t="shared" ca="1" si="6"/>
        <v>74.772000000001754</v>
      </c>
    </row>
    <row r="460" spans="1:8" x14ac:dyDescent="0.2">
      <c r="A460" s="17">
        <v>45183</v>
      </c>
      <c r="B460" s="18"/>
      <c r="C460" s="19" t="s">
        <v>331</v>
      </c>
      <c r="D460" s="30" t="s">
        <v>332</v>
      </c>
      <c r="E460" s="18" t="s">
        <v>14</v>
      </c>
      <c r="F460" s="31">
        <v>10.66</v>
      </c>
      <c r="G460" s="31"/>
      <c r="H460" s="37">
        <f t="shared" ca="1" si="6"/>
        <v>64.112000000001757</v>
      </c>
    </row>
    <row r="461" spans="1:8" x14ac:dyDescent="0.2">
      <c r="A461" s="17">
        <v>45185</v>
      </c>
      <c r="B461" s="18"/>
      <c r="C461" s="19" t="s">
        <v>250</v>
      </c>
      <c r="D461" s="30" t="s">
        <v>32</v>
      </c>
      <c r="E461" s="18" t="s">
        <v>14</v>
      </c>
      <c r="F461" s="31">
        <v>305.7</v>
      </c>
      <c r="G461" s="31"/>
      <c r="H461" s="37">
        <f t="shared" ca="1" si="6"/>
        <v>-241.58799999999823</v>
      </c>
    </row>
    <row r="462" spans="1:8" x14ac:dyDescent="0.2">
      <c r="A462" s="17">
        <v>45185</v>
      </c>
      <c r="B462" s="18"/>
      <c r="C462" s="19" t="s">
        <v>33</v>
      </c>
      <c r="D462" s="30" t="s">
        <v>52</v>
      </c>
      <c r="E462" s="18" t="s">
        <v>14</v>
      </c>
      <c r="F462" s="31"/>
      <c r="G462" s="31">
        <v>300</v>
      </c>
      <c r="H462" s="37">
        <f t="shared" ca="1" si="6"/>
        <v>58.412000000001768</v>
      </c>
    </row>
    <row r="463" spans="1:8" x14ac:dyDescent="0.2">
      <c r="A463" s="17">
        <v>45191</v>
      </c>
      <c r="B463" s="18"/>
      <c r="C463" s="19" t="s">
        <v>33</v>
      </c>
      <c r="D463" s="30" t="s">
        <v>40</v>
      </c>
      <c r="E463" s="18" t="s">
        <v>14</v>
      </c>
      <c r="F463" s="31"/>
      <c r="G463" s="31">
        <v>3224.64</v>
      </c>
      <c r="H463" s="37">
        <f t="shared" ca="1" si="6"/>
        <v>3283.0520000000015</v>
      </c>
    </row>
    <row r="464" spans="1:8" x14ac:dyDescent="0.2">
      <c r="A464" s="17">
        <v>45191</v>
      </c>
      <c r="B464" s="18"/>
      <c r="C464" s="19" t="s">
        <v>36</v>
      </c>
      <c r="D464" s="30" t="s">
        <v>278</v>
      </c>
      <c r="E464" s="18" t="s">
        <v>14</v>
      </c>
      <c r="F464" s="31">
        <v>397.43</v>
      </c>
      <c r="G464" s="31"/>
      <c r="H464" s="37">
        <f t="shared" ca="1" si="6"/>
        <v>2885.6220000000017</v>
      </c>
    </row>
    <row r="465" spans="1:8" x14ac:dyDescent="0.2">
      <c r="A465" s="17">
        <v>45191</v>
      </c>
      <c r="B465" s="18"/>
      <c r="C465" s="19" t="s">
        <v>27</v>
      </c>
      <c r="D465" s="30" t="s">
        <v>30</v>
      </c>
      <c r="E465" s="18" t="s">
        <v>14</v>
      </c>
      <c r="F465" s="31">
        <v>183.61</v>
      </c>
      <c r="G465" s="31"/>
      <c r="H465" s="37">
        <f t="shared" ca="1" si="6"/>
        <v>2702.0120000000015</v>
      </c>
    </row>
    <row r="466" spans="1:8" x14ac:dyDescent="0.2">
      <c r="A466" s="17">
        <v>45191</v>
      </c>
      <c r="B466" s="18"/>
      <c r="C466" s="19" t="s">
        <v>259</v>
      </c>
      <c r="D466" s="30" t="s">
        <v>38</v>
      </c>
      <c r="E466" s="18" t="s">
        <v>14</v>
      </c>
      <c r="F466" s="31">
        <v>79.989999999999995</v>
      </c>
      <c r="G466" s="31"/>
      <c r="H466" s="37">
        <f t="shared" ca="1" si="6"/>
        <v>2622.0220000000018</v>
      </c>
    </row>
    <row r="467" spans="1:8" x14ac:dyDescent="0.2">
      <c r="A467" s="17">
        <v>45200</v>
      </c>
      <c r="B467" s="18"/>
      <c r="C467" s="19" t="s">
        <v>28</v>
      </c>
      <c r="D467" s="30" t="s">
        <v>55</v>
      </c>
      <c r="E467" s="18" t="s">
        <v>14</v>
      </c>
      <c r="F467" s="31">
        <v>1613.17</v>
      </c>
      <c r="G467" s="31"/>
      <c r="H467" s="37">
        <f t="shared" ca="1" si="6"/>
        <v>1008.8520000000017</v>
      </c>
    </row>
    <row r="468" spans="1:8" x14ac:dyDescent="0.2">
      <c r="A468" s="17">
        <v>45191</v>
      </c>
      <c r="B468" s="18"/>
      <c r="C468" s="19" t="s">
        <v>33</v>
      </c>
      <c r="D468" s="30" t="s">
        <v>34</v>
      </c>
      <c r="E468" s="18" t="s">
        <v>14</v>
      </c>
      <c r="F468" s="31">
        <v>70</v>
      </c>
      <c r="G468" s="31"/>
      <c r="H468" s="37">
        <f t="shared" ca="1" si="6"/>
        <v>938.85200000000168</v>
      </c>
    </row>
    <row r="469" spans="1:8" x14ac:dyDescent="0.2">
      <c r="A469" s="17">
        <v>45191</v>
      </c>
      <c r="B469" s="18"/>
      <c r="C469" s="19" t="s">
        <v>33</v>
      </c>
      <c r="D469" s="30" t="s">
        <v>34</v>
      </c>
      <c r="E469" s="18" t="s">
        <v>14</v>
      </c>
      <c r="F469" s="31">
        <v>30</v>
      </c>
      <c r="G469" s="31"/>
      <c r="H469" s="37">
        <f t="shared" ca="1" si="6"/>
        <v>908.85200000000168</v>
      </c>
    </row>
    <row r="470" spans="1:8" x14ac:dyDescent="0.2">
      <c r="A470" s="17">
        <v>45196</v>
      </c>
      <c r="B470" s="18"/>
      <c r="C470" s="19" t="s">
        <v>66</v>
      </c>
      <c r="D470" s="30" t="s">
        <v>333</v>
      </c>
      <c r="E470" s="18" t="s">
        <v>14</v>
      </c>
      <c r="F470" s="31">
        <v>20</v>
      </c>
      <c r="G470" s="31"/>
      <c r="H470" s="37">
        <f t="shared" ca="1" si="6"/>
        <v>888.85200000000168</v>
      </c>
    </row>
    <row r="471" spans="1:8" x14ac:dyDescent="0.2">
      <c r="A471" s="17">
        <v>45196</v>
      </c>
      <c r="B471" s="18"/>
      <c r="C471" s="19" t="s">
        <v>66</v>
      </c>
      <c r="D471" s="30" t="s">
        <v>334</v>
      </c>
      <c r="E471" s="18" t="s">
        <v>14</v>
      </c>
      <c r="F471" s="31">
        <v>50</v>
      </c>
      <c r="G471" s="31"/>
      <c r="H471" s="37">
        <f t="shared" ca="1" si="6"/>
        <v>838.85200000000168</v>
      </c>
    </row>
    <row r="472" spans="1:8" x14ac:dyDescent="0.2">
      <c r="A472" s="17">
        <v>45197</v>
      </c>
      <c r="B472" s="18"/>
      <c r="C472" s="19" t="s">
        <v>66</v>
      </c>
      <c r="D472" s="30" t="s">
        <v>335</v>
      </c>
      <c r="E472" s="18" t="s">
        <v>14</v>
      </c>
      <c r="F472" s="31"/>
      <c r="G472" s="31">
        <v>50</v>
      </c>
      <c r="H472" s="37">
        <f t="shared" ca="1" si="6"/>
        <v>888.85200000000168</v>
      </c>
    </row>
    <row r="473" spans="1:8" x14ac:dyDescent="0.2">
      <c r="A473" s="17">
        <v>45200</v>
      </c>
      <c r="B473" s="18"/>
      <c r="C473" s="19" t="s">
        <v>29</v>
      </c>
      <c r="D473" s="30" t="s">
        <v>45</v>
      </c>
      <c r="E473" s="18" t="s">
        <v>14</v>
      </c>
      <c r="F473" s="31">
        <v>243.45</v>
      </c>
      <c r="G473" s="31"/>
      <c r="H473" s="37">
        <f t="shared" ca="1" si="6"/>
        <v>645.40200000000164</v>
      </c>
    </row>
    <row r="474" spans="1:8" x14ac:dyDescent="0.2">
      <c r="A474" s="17">
        <v>45203</v>
      </c>
      <c r="B474" s="18"/>
      <c r="C474" s="19" t="s">
        <v>66</v>
      </c>
      <c r="D474" s="30" t="s">
        <v>318</v>
      </c>
      <c r="E474" s="18" t="s">
        <v>14</v>
      </c>
      <c r="F474" s="31"/>
      <c r="G474" s="31">
        <v>54.83</v>
      </c>
      <c r="H474" s="37">
        <f t="shared" ca="1" si="6"/>
        <v>700.23200000000168</v>
      </c>
    </row>
    <row r="475" spans="1:8" x14ac:dyDescent="0.2">
      <c r="A475" s="17">
        <v>45205</v>
      </c>
      <c r="B475" s="18"/>
      <c r="C475" s="19" t="s">
        <v>33</v>
      </c>
      <c r="D475" s="30" t="s">
        <v>40</v>
      </c>
      <c r="E475" s="18" t="s">
        <v>14</v>
      </c>
      <c r="F475" s="31"/>
      <c r="G475" s="31">
        <v>3224.64</v>
      </c>
      <c r="H475" s="37">
        <f t="shared" ca="1" si="6"/>
        <v>3924.8720000000017</v>
      </c>
    </row>
    <row r="476" spans="1:8" x14ac:dyDescent="0.2">
      <c r="A476" s="17">
        <v>45205</v>
      </c>
      <c r="B476" s="18"/>
      <c r="C476" s="19" t="s">
        <v>271</v>
      </c>
      <c r="D476" s="30" t="s">
        <v>47</v>
      </c>
      <c r="E476" s="18" t="s">
        <v>14</v>
      </c>
      <c r="F476" s="31">
        <v>4573.6000000000004</v>
      </c>
      <c r="G476" s="31"/>
      <c r="H476" s="37">
        <f t="shared" ca="1" si="6"/>
        <v>-648.7279999999987</v>
      </c>
    </row>
    <row r="477" spans="1:8" x14ac:dyDescent="0.2">
      <c r="A477" s="17">
        <v>45205</v>
      </c>
      <c r="B477" s="18"/>
      <c r="C477" s="19" t="s">
        <v>242</v>
      </c>
      <c r="D477" s="30" t="s">
        <v>284</v>
      </c>
      <c r="E477" s="18" t="s">
        <v>14</v>
      </c>
      <c r="F477" s="31">
        <v>78</v>
      </c>
      <c r="G477" s="31"/>
      <c r="H477" s="37">
        <f t="shared" ca="1" si="6"/>
        <v>-726.7279999999987</v>
      </c>
    </row>
    <row r="478" spans="1:8" x14ac:dyDescent="0.2">
      <c r="A478" s="17">
        <v>45205</v>
      </c>
      <c r="B478" s="18"/>
      <c r="C478" s="19" t="s">
        <v>46</v>
      </c>
      <c r="D478" s="30" t="s">
        <v>47</v>
      </c>
      <c r="E478" s="18" t="s">
        <v>14</v>
      </c>
      <c r="F478" s="31">
        <v>85.66</v>
      </c>
      <c r="G478" s="31"/>
      <c r="H478" s="37">
        <f t="shared" ca="1" si="6"/>
        <v>-812.38799999999867</v>
      </c>
    </row>
    <row r="479" spans="1:8" x14ac:dyDescent="0.2">
      <c r="A479" s="17">
        <v>45205</v>
      </c>
      <c r="B479" s="18"/>
      <c r="C479" s="19" t="s">
        <v>36</v>
      </c>
      <c r="D479" s="30" t="s">
        <v>323</v>
      </c>
      <c r="E479" s="18" t="s">
        <v>14</v>
      </c>
      <c r="F479" s="31">
        <v>395.76</v>
      </c>
      <c r="G479" s="31"/>
      <c r="H479" s="37">
        <f t="shared" ca="1" si="6"/>
        <v>-1208.1479999999988</v>
      </c>
    </row>
    <row r="480" spans="1:8" x14ac:dyDescent="0.2">
      <c r="A480" s="17">
        <v>45205</v>
      </c>
      <c r="B480" s="18"/>
      <c r="C480" s="19" t="s">
        <v>33</v>
      </c>
      <c r="D480" s="30" t="s">
        <v>52</v>
      </c>
      <c r="E480" s="18" t="s">
        <v>14</v>
      </c>
      <c r="F480" s="31"/>
      <c r="G480" s="31">
        <v>1500</v>
      </c>
      <c r="H480" s="37">
        <f t="shared" ca="1" si="6"/>
        <v>291.85200000000123</v>
      </c>
    </row>
    <row r="481" spans="1:8" x14ac:dyDescent="0.2">
      <c r="A481" s="17">
        <v>45206</v>
      </c>
      <c r="B481" s="18"/>
      <c r="C481" s="19" t="s">
        <v>33</v>
      </c>
      <c r="D481" s="30" t="s">
        <v>34</v>
      </c>
      <c r="E481" s="18" t="s">
        <v>14</v>
      </c>
      <c r="F481" s="31">
        <v>403</v>
      </c>
      <c r="G481" s="31"/>
      <c r="H481" s="37">
        <f t="shared" ca="1" si="6"/>
        <v>-111.14799999999877</v>
      </c>
    </row>
    <row r="482" spans="1:8" x14ac:dyDescent="0.2">
      <c r="A482" s="17">
        <v>45206</v>
      </c>
      <c r="B482" s="18"/>
      <c r="C482" s="19" t="s">
        <v>33</v>
      </c>
      <c r="D482" s="30" t="s">
        <v>34</v>
      </c>
      <c r="E482" s="18" t="s">
        <v>14</v>
      </c>
      <c r="F482" s="31">
        <v>63</v>
      </c>
      <c r="G482" s="31"/>
      <c r="H482" s="37">
        <f t="shared" ca="1" si="6"/>
        <v>-174.14799999999877</v>
      </c>
    </row>
    <row r="483" spans="1:8" x14ac:dyDescent="0.2">
      <c r="A483" s="17">
        <v>45210</v>
      </c>
      <c r="B483" s="18"/>
      <c r="C483" s="19" t="s">
        <v>33</v>
      </c>
      <c r="D483" s="30" t="s">
        <v>66</v>
      </c>
      <c r="E483" s="18" t="s">
        <v>14</v>
      </c>
      <c r="F483" s="31">
        <v>10</v>
      </c>
      <c r="G483" s="31"/>
      <c r="H483" s="37">
        <f t="shared" ca="1" si="6"/>
        <v>-184.14799999999877</v>
      </c>
    </row>
    <row r="484" spans="1:8" x14ac:dyDescent="0.2">
      <c r="A484" s="17">
        <v>45219</v>
      </c>
      <c r="B484" s="18"/>
      <c r="C484" s="19" t="s">
        <v>33</v>
      </c>
      <c r="D484" s="30" t="s">
        <v>40</v>
      </c>
      <c r="E484" s="18" t="s">
        <v>14</v>
      </c>
      <c r="F484" s="31"/>
      <c r="G484" s="31">
        <v>3224.64</v>
      </c>
      <c r="H484" s="37">
        <f t="shared" ca="1" si="6"/>
        <v>3040.4920000000011</v>
      </c>
    </row>
    <row r="485" spans="1:8" x14ac:dyDescent="0.2">
      <c r="A485" s="17">
        <v>45219</v>
      </c>
      <c r="B485" s="18"/>
      <c r="C485" s="19" t="s">
        <v>36</v>
      </c>
      <c r="D485" s="30" t="s">
        <v>278</v>
      </c>
      <c r="E485" s="18" t="s">
        <v>14</v>
      </c>
      <c r="F485" s="31">
        <v>397.43</v>
      </c>
      <c r="G485" s="31"/>
      <c r="H485" s="37">
        <f t="shared" ca="1" si="6"/>
        <v>2643.0620000000013</v>
      </c>
    </row>
    <row r="486" spans="1:8" x14ac:dyDescent="0.2">
      <c r="A486" s="17">
        <v>45219</v>
      </c>
      <c r="B486" s="18"/>
      <c r="C486" s="19" t="s">
        <v>58</v>
      </c>
      <c r="D486" s="30" t="s">
        <v>30</v>
      </c>
      <c r="E486" s="18" t="s">
        <v>14</v>
      </c>
      <c r="F486" s="31">
        <v>131.21</v>
      </c>
      <c r="G486" s="31"/>
      <c r="H486" s="37">
        <f t="shared" ca="1" si="6"/>
        <v>2511.8520000000012</v>
      </c>
    </row>
    <row r="487" spans="1:8" x14ac:dyDescent="0.2">
      <c r="A487" s="17">
        <v>45219</v>
      </c>
      <c r="B487" s="18"/>
      <c r="C487" s="19" t="s">
        <v>259</v>
      </c>
      <c r="D487" s="30" t="s">
        <v>38</v>
      </c>
      <c r="E487" s="18" t="s">
        <v>14</v>
      </c>
      <c r="F487" s="31">
        <v>79.989999999999995</v>
      </c>
      <c r="G487" s="31"/>
      <c r="H487" s="37">
        <f t="shared" ca="1" si="6"/>
        <v>2431.8620000000014</v>
      </c>
    </row>
    <row r="488" spans="1:8" x14ac:dyDescent="0.2">
      <c r="A488" s="17">
        <v>45225</v>
      </c>
      <c r="B488" s="18">
        <v>1410</v>
      </c>
      <c r="C488" s="19" t="s">
        <v>336</v>
      </c>
      <c r="D488" s="30"/>
      <c r="E488" s="18" t="s">
        <v>14</v>
      </c>
      <c r="F488" s="31">
        <v>20</v>
      </c>
      <c r="G488" s="31"/>
      <c r="H488" s="37">
        <f t="shared" ca="1" si="6"/>
        <v>2411.8620000000014</v>
      </c>
    </row>
    <row r="489" spans="1:8" x14ac:dyDescent="0.2">
      <c r="A489" s="17">
        <v>45224</v>
      </c>
      <c r="B489" s="18"/>
      <c r="C489" s="19" t="s">
        <v>33</v>
      </c>
      <c r="D489" s="30" t="s">
        <v>34</v>
      </c>
      <c r="E489" s="18" t="s">
        <v>14</v>
      </c>
      <c r="F489" s="31">
        <v>323</v>
      </c>
      <c r="G489" s="31"/>
      <c r="H489" s="37">
        <f t="shared" ca="1" si="6"/>
        <v>2088.8620000000014</v>
      </c>
    </row>
    <row r="490" spans="1:8" x14ac:dyDescent="0.2">
      <c r="A490" s="17">
        <v>45233</v>
      </c>
      <c r="B490" s="18"/>
      <c r="C490" s="19" t="s">
        <v>33</v>
      </c>
      <c r="D490" s="30" t="s">
        <v>40</v>
      </c>
      <c r="E490" s="18" t="s">
        <v>14</v>
      </c>
      <c r="F490" s="31"/>
      <c r="G490" s="31">
        <v>3489.65</v>
      </c>
      <c r="H490" s="37">
        <f t="shared" ca="1" si="6"/>
        <v>5578.5120000000015</v>
      </c>
    </row>
    <row r="491" spans="1:8" x14ac:dyDescent="0.2">
      <c r="A491" s="17">
        <v>45231</v>
      </c>
      <c r="B491" s="18"/>
      <c r="C491" s="19" t="s">
        <v>33</v>
      </c>
      <c r="D491" s="30" t="s">
        <v>245</v>
      </c>
      <c r="E491" s="18" t="s">
        <v>14</v>
      </c>
      <c r="F491" s="31"/>
      <c r="G491" s="31">
        <v>9</v>
      </c>
      <c r="H491" s="37">
        <f t="shared" ca="1" si="6"/>
        <v>5587.5120000000015</v>
      </c>
    </row>
    <row r="492" spans="1:8" x14ac:dyDescent="0.2">
      <c r="A492" s="17">
        <v>45231</v>
      </c>
      <c r="B492" s="18"/>
      <c r="C492" s="19" t="s">
        <v>29</v>
      </c>
      <c r="D492" s="30" t="s">
        <v>45</v>
      </c>
      <c r="E492" s="18" t="s">
        <v>14</v>
      </c>
      <c r="F492" s="31">
        <v>243.88</v>
      </c>
      <c r="G492" s="31"/>
      <c r="H492" s="37">
        <f t="shared" ca="1" si="6"/>
        <v>5343.6320000000014</v>
      </c>
    </row>
    <row r="493" spans="1:8" x14ac:dyDescent="0.2">
      <c r="A493" s="17">
        <v>45233</v>
      </c>
      <c r="B493" s="18"/>
      <c r="C493" s="19" t="s">
        <v>28</v>
      </c>
      <c r="D493" s="30" t="s">
        <v>55</v>
      </c>
      <c r="E493" s="18" t="s">
        <v>14</v>
      </c>
      <c r="F493" s="31">
        <v>1209.9000000000001</v>
      </c>
      <c r="G493" s="31"/>
      <c r="H493" s="37">
        <f t="shared" ca="1" si="6"/>
        <v>4133.7320000000018</v>
      </c>
    </row>
    <row r="494" spans="1:8" x14ac:dyDescent="0.2">
      <c r="A494" s="17">
        <v>45233</v>
      </c>
      <c r="B494" s="18"/>
      <c r="C494" s="19" t="s">
        <v>271</v>
      </c>
      <c r="D494" s="30" t="s">
        <v>47</v>
      </c>
      <c r="E494" s="18" t="s">
        <v>14</v>
      </c>
      <c r="F494" s="31">
        <v>3363.62</v>
      </c>
      <c r="G494" s="31"/>
      <c r="H494" s="37">
        <f t="shared" ca="1" si="6"/>
        <v>770.1120000000019</v>
      </c>
    </row>
    <row r="495" spans="1:8" x14ac:dyDescent="0.2">
      <c r="A495" s="17">
        <v>45233</v>
      </c>
      <c r="B495" s="18"/>
      <c r="C495" s="19" t="s">
        <v>242</v>
      </c>
      <c r="D495" s="30" t="s">
        <v>284</v>
      </c>
      <c r="E495" s="18" t="s">
        <v>14</v>
      </c>
      <c r="F495" s="31">
        <v>78</v>
      </c>
      <c r="G495" s="31"/>
      <c r="H495" s="37">
        <f t="shared" ca="1" si="6"/>
        <v>692.1120000000019</v>
      </c>
    </row>
    <row r="496" spans="1:8" x14ac:dyDescent="0.2">
      <c r="A496" s="17">
        <v>45247</v>
      </c>
      <c r="B496" s="18"/>
      <c r="C496" s="19" t="s">
        <v>33</v>
      </c>
      <c r="D496" s="30" t="s">
        <v>40</v>
      </c>
      <c r="E496" s="18" t="s">
        <v>14</v>
      </c>
      <c r="F496" s="31"/>
      <c r="G496" s="31">
        <v>3489.65</v>
      </c>
      <c r="H496" s="37">
        <f t="shared" ca="1" si="6"/>
        <v>4181.7620000000024</v>
      </c>
    </row>
    <row r="497" spans="1:8" x14ac:dyDescent="0.2">
      <c r="A497" s="17">
        <v>45247</v>
      </c>
      <c r="B497" s="18"/>
      <c r="C497" s="19" t="s">
        <v>36</v>
      </c>
      <c r="D497" s="30" t="s">
        <v>323</v>
      </c>
      <c r="E497" s="18" t="s">
        <v>14</v>
      </c>
      <c r="F497" s="31">
        <v>395.76</v>
      </c>
      <c r="G497" s="31"/>
      <c r="H497" s="37">
        <f t="shared" ca="1" si="6"/>
        <v>3786.0020000000022</v>
      </c>
    </row>
    <row r="498" spans="1:8" x14ac:dyDescent="0.2">
      <c r="A498" s="17">
        <v>45247</v>
      </c>
      <c r="B498" s="18"/>
      <c r="C498" s="19" t="s">
        <v>46</v>
      </c>
      <c r="D498" s="30" t="s">
        <v>47</v>
      </c>
      <c r="E498" s="18" t="s">
        <v>14</v>
      </c>
      <c r="F498" s="31">
        <v>464.07</v>
      </c>
      <c r="G498" s="31"/>
      <c r="H498" s="37">
        <f t="shared" ca="1" si="6"/>
        <v>3321.9320000000021</v>
      </c>
    </row>
    <row r="499" spans="1:8" x14ac:dyDescent="0.2">
      <c r="A499" s="17">
        <v>45247</v>
      </c>
      <c r="B499" s="18"/>
      <c r="C499" s="19" t="s">
        <v>36</v>
      </c>
      <c r="D499" s="30" t="s">
        <v>278</v>
      </c>
      <c r="E499" s="18" t="s">
        <v>14</v>
      </c>
      <c r="F499" s="31">
        <v>397.43</v>
      </c>
      <c r="G499" s="31"/>
      <c r="H499" s="37">
        <f t="shared" ca="1" si="6"/>
        <v>2924.5020000000022</v>
      </c>
    </row>
    <row r="500" spans="1:8" x14ac:dyDescent="0.2">
      <c r="A500" s="17">
        <v>45251</v>
      </c>
      <c r="B500" s="18"/>
      <c r="C500" s="19" t="s">
        <v>337</v>
      </c>
      <c r="D500" s="30" t="s">
        <v>32</v>
      </c>
      <c r="E500" s="18" t="s">
        <v>14</v>
      </c>
      <c r="F500" s="31">
        <v>208</v>
      </c>
      <c r="G500" s="31"/>
      <c r="H500" s="37">
        <f t="shared" ca="1" si="6"/>
        <v>2716.5020000000022</v>
      </c>
    </row>
    <row r="501" spans="1:8" x14ac:dyDescent="0.2">
      <c r="A501" s="17">
        <v>45255</v>
      </c>
      <c r="B501" s="18"/>
      <c r="C501" s="19" t="s">
        <v>27</v>
      </c>
      <c r="D501" s="30" t="s">
        <v>30</v>
      </c>
      <c r="E501" s="18" t="s">
        <v>14</v>
      </c>
      <c r="F501" s="31">
        <v>105.63</v>
      </c>
      <c r="G501" s="31"/>
      <c r="H501" s="37">
        <f t="shared" ca="1" si="6"/>
        <v>2610.8720000000021</v>
      </c>
    </row>
    <row r="502" spans="1:8" x14ac:dyDescent="0.2">
      <c r="A502" s="17">
        <v>45255</v>
      </c>
      <c r="B502" s="18"/>
      <c r="C502" s="19" t="s">
        <v>259</v>
      </c>
      <c r="D502" s="30" t="s">
        <v>38</v>
      </c>
      <c r="E502" s="18" t="s">
        <v>14</v>
      </c>
      <c r="F502" s="31">
        <v>79.989999999999995</v>
      </c>
      <c r="G502" s="31"/>
      <c r="H502" s="37">
        <f t="shared" ca="1" si="6"/>
        <v>2530.8820000000023</v>
      </c>
    </row>
    <row r="503" spans="1:8" x14ac:dyDescent="0.2">
      <c r="A503" s="17">
        <v>45261</v>
      </c>
      <c r="B503" s="18"/>
      <c r="C503" s="19" t="s">
        <v>33</v>
      </c>
      <c r="D503" s="30" t="s">
        <v>296</v>
      </c>
      <c r="E503" s="18" t="s">
        <v>14</v>
      </c>
      <c r="F503" s="31"/>
      <c r="G503" s="31">
        <v>1000.08</v>
      </c>
      <c r="H503" s="37">
        <f t="shared" ca="1" si="6"/>
        <v>3530.9620000000023</v>
      </c>
    </row>
    <row r="504" spans="1:8" x14ac:dyDescent="0.2">
      <c r="A504" s="17">
        <v>45261</v>
      </c>
      <c r="B504" s="18"/>
      <c r="C504" s="19" t="s">
        <v>33</v>
      </c>
      <c r="D504" s="30" t="s">
        <v>40</v>
      </c>
      <c r="E504" s="18" t="s">
        <v>14</v>
      </c>
      <c r="F504" s="31"/>
      <c r="G504" s="31">
        <v>3489.64</v>
      </c>
      <c r="H504" s="37">
        <f t="shared" ca="1" si="6"/>
        <v>7020.6020000000026</v>
      </c>
    </row>
    <row r="505" spans="1:8" x14ac:dyDescent="0.2">
      <c r="A505" s="17">
        <v>45261</v>
      </c>
      <c r="B505" s="18"/>
      <c r="C505" s="19" t="s">
        <v>29</v>
      </c>
      <c r="D505" s="30" t="s">
        <v>45</v>
      </c>
      <c r="E505" s="18" t="s">
        <v>14</v>
      </c>
      <c r="F505" s="31">
        <v>243.85</v>
      </c>
      <c r="G505" s="31"/>
      <c r="H505" s="37">
        <f t="shared" ca="1" si="6"/>
        <v>6776.7520000000022</v>
      </c>
    </row>
    <row r="506" spans="1:8" x14ac:dyDescent="0.2">
      <c r="A506" s="17">
        <v>45261</v>
      </c>
      <c r="B506" s="18"/>
      <c r="C506" s="19" t="s">
        <v>33</v>
      </c>
      <c r="D506" s="30" t="s">
        <v>338</v>
      </c>
      <c r="E506" s="18" t="s">
        <v>14</v>
      </c>
      <c r="F506" s="31"/>
      <c r="G506" s="31">
        <v>3</v>
      </c>
      <c r="H506" s="37">
        <f t="shared" ca="1" si="6"/>
        <v>6779.7520000000022</v>
      </c>
    </row>
    <row r="507" spans="1:8" x14ac:dyDescent="0.2">
      <c r="A507" s="17">
        <v>45261</v>
      </c>
      <c r="B507" s="18"/>
      <c r="C507" s="19" t="s">
        <v>28</v>
      </c>
      <c r="D507" s="30" t="s">
        <v>55</v>
      </c>
      <c r="E507" s="18" t="s">
        <v>14</v>
      </c>
      <c r="F507" s="31">
        <v>1209.9000000000001</v>
      </c>
      <c r="G507" s="31"/>
      <c r="H507" s="37">
        <f t="shared" ca="1" si="6"/>
        <v>5569.8520000000026</v>
      </c>
    </row>
    <row r="508" spans="1:8" x14ac:dyDescent="0.2">
      <c r="A508" s="17">
        <v>45261</v>
      </c>
      <c r="B508" s="18"/>
      <c r="C508" s="19" t="s">
        <v>242</v>
      </c>
      <c r="D508" s="30" t="s">
        <v>284</v>
      </c>
      <c r="E508" s="18" t="s">
        <v>14</v>
      </c>
      <c r="F508" s="31">
        <v>78</v>
      </c>
      <c r="G508" s="31"/>
      <c r="H508" s="37">
        <f t="shared" ca="1" si="6"/>
        <v>5491.8520000000026</v>
      </c>
    </row>
    <row r="509" spans="1:8" x14ac:dyDescent="0.2">
      <c r="A509" s="17">
        <v>45261</v>
      </c>
      <c r="B509" s="18"/>
      <c r="C509" s="19" t="s">
        <v>33</v>
      </c>
      <c r="D509" s="30" t="s">
        <v>318</v>
      </c>
      <c r="E509" s="18" t="s">
        <v>14</v>
      </c>
      <c r="F509" s="31"/>
      <c r="G509" s="31">
        <v>109.83</v>
      </c>
      <c r="H509" s="37">
        <f t="shared" ca="1" si="6"/>
        <v>5601.6820000000025</v>
      </c>
    </row>
    <row r="510" spans="1:8" x14ac:dyDescent="0.2">
      <c r="A510" s="17">
        <v>45266</v>
      </c>
      <c r="B510" s="18"/>
      <c r="C510" s="19" t="s">
        <v>250</v>
      </c>
      <c r="D510" s="30" t="s">
        <v>32</v>
      </c>
      <c r="E510" s="18" t="s">
        <v>14</v>
      </c>
      <c r="F510" s="31">
        <v>413</v>
      </c>
      <c r="G510" s="31"/>
      <c r="H510" s="37">
        <f t="shared" ca="1" si="6"/>
        <v>5188.6820000000025</v>
      </c>
    </row>
    <row r="511" spans="1:8" x14ac:dyDescent="0.2">
      <c r="A511" s="17">
        <v>45264</v>
      </c>
      <c r="B511" s="18"/>
      <c r="C511" s="19" t="s">
        <v>33</v>
      </c>
      <c r="D511" s="30"/>
      <c r="E511" s="18" t="s">
        <v>14</v>
      </c>
      <c r="F511" s="31"/>
      <c r="G511" s="31">
        <v>21.61</v>
      </c>
      <c r="H511" s="37">
        <f t="shared" ca="1" si="6"/>
        <v>5210.2920000000022</v>
      </c>
    </row>
    <row r="512" spans="1:8" x14ac:dyDescent="0.2">
      <c r="A512" s="17">
        <v>45268</v>
      </c>
      <c r="B512" s="18"/>
      <c r="C512" s="19" t="s">
        <v>271</v>
      </c>
      <c r="D512" s="30" t="s">
        <v>47</v>
      </c>
      <c r="E512" s="18" t="s">
        <v>14</v>
      </c>
      <c r="F512" s="31">
        <v>7441.31</v>
      </c>
      <c r="G512" s="31"/>
      <c r="H512" s="37">
        <f t="shared" ref="H512:H1236" ca="1" si="7">IF(AND(ISBLANK(F512),ISBLANK(G512)),"",OFFSET(H512,-1,0,1,1)+G512-F512)</f>
        <v>-2231.0179999999982</v>
      </c>
    </row>
    <row r="513" spans="1:8" x14ac:dyDescent="0.2">
      <c r="A513" s="17">
        <v>45268</v>
      </c>
      <c r="B513" s="18"/>
      <c r="C513" s="19" t="s">
        <v>33</v>
      </c>
      <c r="D513" s="30" t="s">
        <v>52</v>
      </c>
      <c r="E513" s="18" t="s">
        <v>14</v>
      </c>
      <c r="F513" s="31"/>
      <c r="G513" s="31">
        <v>2200</v>
      </c>
      <c r="H513" s="37">
        <f t="shared" ca="1" si="7"/>
        <v>-31.01799999999821</v>
      </c>
    </row>
    <row r="514" spans="1:8" x14ac:dyDescent="0.2">
      <c r="A514" s="17">
        <v>45275</v>
      </c>
      <c r="B514" s="18"/>
      <c r="C514" s="19" t="s">
        <v>33</v>
      </c>
      <c r="D514" s="30" t="s">
        <v>40</v>
      </c>
      <c r="E514" s="18" t="s">
        <v>14</v>
      </c>
      <c r="F514" s="31"/>
      <c r="G514" s="31">
        <v>3489.38</v>
      </c>
      <c r="H514" s="37">
        <f t="shared" ca="1" si="7"/>
        <v>3458.3620000000019</v>
      </c>
    </row>
    <row r="515" spans="1:8" x14ac:dyDescent="0.2">
      <c r="A515" s="17">
        <v>45275</v>
      </c>
      <c r="B515" s="18"/>
      <c r="C515" s="19" t="s">
        <v>33</v>
      </c>
      <c r="D515" s="30" t="s">
        <v>66</v>
      </c>
      <c r="E515" s="18" t="s">
        <v>14</v>
      </c>
      <c r="F515" s="31"/>
      <c r="G515" s="31">
        <v>62.64</v>
      </c>
      <c r="H515" s="37">
        <f t="shared" ca="1" si="7"/>
        <v>3521.0020000000018</v>
      </c>
    </row>
    <row r="516" spans="1:8" x14ac:dyDescent="0.2">
      <c r="A516" s="17">
        <v>45275</v>
      </c>
      <c r="B516" s="18"/>
      <c r="C516" s="19" t="s">
        <v>33</v>
      </c>
      <c r="D516" s="30" t="s">
        <v>66</v>
      </c>
      <c r="E516" s="18" t="s">
        <v>14</v>
      </c>
      <c r="F516" s="31"/>
      <c r="G516" s="31">
        <v>49</v>
      </c>
      <c r="H516" s="37">
        <f t="shared" ca="1" si="7"/>
        <v>3570.0020000000018</v>
      </c>
    </row>
    <row r="517" spans="1:8" x14ac:dyDescent="0.2">
      <c r="A517" s="17">
        <v>45275</v>
      </c>
      <c r="B517" s="18"/>
      <c r="C517" s="19" t="s">
        <v>33</v>
      </c>
      <c r="D517" s="30" t="s">
        <v>66</v>
      </c>
      <c r="E517" s="18" t="s">
        <v>339</v>
      </c>
      <c r="F517" s="31">
        <v>5.05</v>
      </c>
      <c r="G517" s="31"/>
      <c r="H517" s="37">
        <f t="shared" ca="1" si="7"/>
        <v>3564.9520000000016</v>
      </c>
    </row>
    <row r="518" spans="1:8" x14ac:dyDescent="0.2">
      <c r="A518" s="17">
        <v>45272</v>
      </c>
      <c r="B518" s="18"/>
      <c r="C518" s="19" t="s">
        <v>33</v>
      </c>
      <c r="D518" s="30" t="s">
        <v>66</v>
      </c>
      <c r="E518" s="18" t="s">
        <v>14</v>
      </c>
      <c r="F518" s="31"/>
      <c r="G518" s="31">
        <v>256</v>
      </c>
      <c r="H518" s="37">
        <f t="shared" ca="1" si="7"/>
        <v>3820.9520000000016</v>
      </c>
    </row>
    <row r="519" spans="1:8" x14ac:dyDescent="0.2">
      <c r="A519" s="17">
        <v>45273</v>
      </c>
      <c r="B519" s="18"/>
      <c r="C519" s="19" t="s">
        <v>33</v>
      </c>
      <c r="D519" s="30" t="s">
        <v>66</v>
      </c>
      <c r="E519" s="18" t="s">
        <v>14</v>
      </c>
      <c r="F519" s="31"/>
      <c r="G519" s="31">
        <v>39.69</v>
      </c>
      <c r="H519" s="37">
        <f t="shared" ca="1" si="7"/>
        <v>3860.6420000000016</v>
      </c>
    </row>
    <row r="520" spans="1:8" x14ac:dyDescent="0.2">
      <c r="A520" s="17">
        <v>45275</v>
      </c>
      <c r="B520" s="18"/>
      <c r="C520" s="19" t="s">
        <v>36</v>
      </c>
      <c r="D520" s="30" t="s">
        <v>323</v>
      </c>
      <c r="E520" s="18" t="s">
        <v>14</v>
      </c>
      <c r="F520" s="31">
        <v>395.76</v>
      </c>
      <c r="G520" s="31"/>
      <c r="H520" s="37">
        <f t="shared" ca="1" si="7"/>
        <v>3464.8820000000014</v>
      </c>
    </row>
    <row r="521" spans="1:8" x14ac:dyDescent="0.2">
      <c r="A521" s="17">
        <v>45275</v>
      </c>
      <c r="B521" s="18"/>
      <c r="C521" s="19" t="s">
        <v>36</v>
      </c>
      <c r="D521" s="30" t="s">
        <v>278</v>
      </c>
      <c r="E521" s="18" t="s">
        <v>14</v>
      </c>
      <c r="F521" s="31">
        <v>397.43</v>
      </c>
      <c r="G521" s="31"/>
      <c r="H521" s="37">
        <f t="shared" ca="1" si="7"/>
        <v>3067.4520000000016</v>
      </c>
    </row>
    <row r="522" spans="1:8" x14ac:dyDescent="0.2">
      <c r="A522" s="17">
        <v>45275</v>
      </c>
      <c r="B522" s="18"/>
      <c r="C522" s="19" t="s">
        <v>46</v>
      </c>
      <c r="D522" s="30" t="s">
        <v>47</v>
      </c>
      <c r="E522" s="18" t="s">
        <v>14</v>
      </c>
      <c r="F522" s="31">
        <v>181.27</v>
      </c>
      <c r="G522" s="31"/>
      <c r="H522" s="37">
        <f t="shared" ca="1" si="7"/>
        <v>2886.1820000000016</v>
      </c>
    </row>
    <row r="523" spans="1:8" x14ac:dyDescent="0.2">
      <c r="A523" s="17">
        <v>45275</v>
      </c>
      <c r="B523" s="18"/>
      <c r="C523" s="19" t="s">
        <v>27</v>
      </c>
      <c r="D523" s="30" t="s">
        <v>30</v>
      </c>
      <c r="E523" s="18" t="s">
        <v>14</v>
      </c>
      <c r="F523" s="31">
        <v>85.16</v>
      </c>
      <c r="G523" s="31"/>
      <c r="H523" s="37">
        <f t="shared" ca="1" si="7"/>
        <v>2801.0220000000018</v>
      </c>
    </row>
    <row r="524" spans="1:8" x14ac:dyDescent="0.2">
      <c r="A524" s="17">
        <v>45276</v>
      </c>
      <c r="B524" s="18"/>
      <c r="C524" s="19" t="s">
        <v>66</v>
      </c>
      <c r="D524" s="30"/>
      <c r="E524" s="18" t="s">
        <v>14</v>
      </c>
      <c r="F524" s="31">
        <v>42.75</v>
      </c>
      <c r="G524" s="31"/>
      <c r="H524" s="37">
        <f t="shared" ca="1" si="7"/>
        <v>2758.2720000000018</v>
      </c>
    </row>
    <row r="525" spans="1:8" x14ac:dyDescent="0.2">
      <c r="A525" s="17">
        <v>45278</v>
      </c>
      <c r="B525" s="18"/>
      <c r="C525" s="19" t="s">
        <v>66</v>
      </c>
      <c r="D525" s="30" t="s">
        <v>340</v>
      </c>
      <c r="E525" s="18" t="s">
        <v>14</v>
      </c>
      <c r="F525" s="31">
        <v>20</v>
      </c>
      <c r="G525" s="31"/>
      <c r="H525" s="37">
        <f t="shared" ca="1" si="7"/>
        <v>2738.2720000000018</v>
      </c>
    </row>
    <row r="526" spans="1:8" x14ac:dyDescent="0.2">
      <c r="A526" s="17">
        <v>45282</v>
      </c>
      <c r="B526" s="18"/>
      <c r="C526" s="19" t="s">
        <v>259</v>
      </c>
      <c r="D526" s="30" t="s">
        <v>38</v>
      </c>
      <c r="E526" s="18" t="s">
        <v>14</v>
      </c>
      <c r="F526" s="31">
        <v>79.989999999999995</v>
      </c>
      <c r="G526" s="31"/>
      <c r="H526" s="37">
        <f t="shared" ca="1" si="7"/>
        <v>2658.282000000002</v>
      </c>
    </row>
    <row r="527" spans="1:8" x14ac:dyDescent="0.2">
      <c r="A527" s="17">
        <v>45289</v>
      </c>
      <c r="B527" s="18"/>
      <c r="C527" s="19" t="s">
        <v>33</v>
      </c>
      <c r="D527" s="30" t="s">
        <v>40</v>
      </c>
      <c r="E527" s="18" t="s">
        <v>14</v>
      </c>
      <c r="F527" s="31"/>
      <c r="G527" s="31">
        <v>3489.65</v>
      </c>
      <c r="H527" s="37">
        <f t="shared" ca="1" si="7"/>
        <v>6147.9320000000025</v>
      </c>
    </row>
    <row r="528" spans="1:8" x14ac:dyDescent="0.2">
      <c r="A528" s="17">
        <v>45286</v>
      </c>
      <c r="B528" s="18"/>
      <c r="C528" s="19" t="s">
        <v>66</v>
      </c>
      <c r="D528" s="30"/>
      <c r="E528" s="18" t="s">
        <v>14</v>
      </c>
      <c r="F528" s="31">
        <v>10</v>
      </c>
      <c r="G528" s="31"/>
      <c r="H528" s="37">
        <f t="shared" ca="1" si="7"/>
        <v>6137.9320000000025</v>
      </c>
    </row>
    <row r="529" spans="1:8" x14ac:dyDescent="0.2">
      <c r="A529" s="17">
        <v>45286</v>
      </c>
      <c r="B529" s="18"/>
      <c r="C529" s="19" t="s">
        <v>66</v>
      </c>
      <c r="D529" s="30"/>
      <c r="E529" s="18" t="s">
        <v>14</v>
      </c>
      <c r="F529" s="31">
        <v>50</v>
      </c>
      <c r="G529" s="31"/>
      <c r="H529" s="37">
        <f t="shared" ca="1" si="7"/>
        <v>6087.9320000000025</v>
      </c>
    </row>
    <row r="530" spans="1:8" x14ac:dyDescent="0.2">
      <c r="A530" s="17">
        <v>45286</v>
      </c>
      <c r="B530" s="18"/>
      <c r="C530" s="19" t="s">
        <v>66</v>
      </c>
      <c r="D530" s="30" t="s">
        <v>341</v>
      </c>
      <c r="E530" s="18" t="s">
        <v>14</v>
      </c>
      <c r="F530" s="31">
        <v>250</v>
      </c>
      <c r="G530" s="31"/>
      <c r="H530" s="37">
        <f t="shared" ca="1" si="7"/>
        <v>5837.9320000000025</v>
      </c>
    </row>
    <row r="531" spans="1:8" x14ac:dyDescent="0.2">
      <c r="A531" s="17">
        <v>45286</v>
      </c>
      <c r="B531" s="18"/>
      <c r="C531" s="19" t="s">
        <v>66</v>
      </c>
      <c r="D531" s="30"/>
      <c r="E531" s="18" t="s">
        <v>14</v>
      </c>
      <c r="F531" s="31">
        <v>20</v>
      </c>
      <c r="G531" s="31"/>
      <c r="H531" s="37">
        <f t="shared" ca="1" si="7"/>
        <v>5817.9320000000025</v>
      </c>
    </row>
    <row r="532" spans="1:8" x14ac:dyDescent="0.2">
      <c r="A532" s="17">
        <v>45286</v>
      </c>
      <c r="B532" s="18"/>
      <c r="C532" s="19" t="s">
        <v>66</v>
      </c>
      <c r="D532" s="30"/>
      <c r="E532" s="18" t="s">
        <v>14</v>
      </c>
      <c r="F532" s="31">
        <v>42.75</v>
      </c>
      <c r="G532" s="31"/>
      <c r="H532" s="37">
        <f t="shared" ca="1" si="7"/>
        <v>5775.1820000000025</v>
      </c>
    </row>
    <row r="533" spans="1:8" x14ac:dyDescent="0.2">
      <c r="A533" s="17">
        <v>45289</v>
      </c>
      <c r="B533" s="18"/>
      <c r="C533" s="19" t="s">
        <v>28</v>
      </c>
      <c r="D533" s="30" t="s">
        <v>55</v>
      </c>
      <c r="E533" s="18" t="s">
        <v>14</v>
      </c>
      <c r="F533" s="31">
        <v>1209.9000000000001</v>
      </c>
      <c r="G533" s="31"/>
      <c r="H533" s="37">
        <f t="shared" ca="1" si="7"/>
        <v>4565.2820000000029</v>
      </c>
    </row>
    <row r="534" spans="1:8" x14ac:dyDescent="0.2">
      <c r="A534" s="17">
        <v>45289</v>
      </c>
      <c r="B534" s="18"/>
      <c r="C534" s="19" t="s">
        <v>29</v>
      </c>
      <c r="D534" s="30" t="s">
        <v>45</v>
      </c>
      <c r="E534" s="18" t="s">
        <v>14</v>
      </c>
      <c r="F534" s="31">
        <v>210.52</v>
      </c>
      <c r="G534" s="31"/>
      <c r="H534" s="37">
        <f t="shared" ca="1" si="7"/>
        <v>4354.7620000000024</v>
      </c>
    </row>
    <row r="535" spans="1:8" x14ac:dyDescent="0.2">
      <c r="A535" s="17">
        <v>45293</v>
      </c>
      <c r="B535" s="18"/>
      <c r="C535" s="19" t="s">
        <v>271</v>
      </c>
      <c r="D535" s="30" t="s">
        <v>47</v>
      </c>
      <c r="E535" s="18" t="s">
        <v>14</v>
      </c>
      <c r="F535" s="31">
        <v>4033.74</v>
      </c>
      <c r="G535" s="31"/>
      <c r="H535" s="37">
        <f t="shared" ca="1" si="7"/>
        <v>321.02200000000266</v>
      </c>
    </row>
    <row r="536" spans="1:8" x14ac:dyDescent="0.2">
      <c r="A536" s="17">
        <v>45293</v>
      </c>
      <c r="B536" s="18"/>
      <c r="C536" s="19" t="s">
        <v>66</v>
      </c>
      <c r="D536" s="30" t="s">
        <v>318</v>
      </c>
      <c r="E536" s="18" t="s">
        <v>14</v>
      </c>
      <c r="F536" s="31"/>
      <c r="G536" s="31">
        <v>54.91</v>
      </c>
      <c r="H536" s="37">
        <f t="shared" ca="1" si="7"/>
        <v>375.93200000000263</v>
      </c>
    </row>
    <row r="537" spans="1:8" x14ac:dyDescent="0.2">
      <c r="A537" s="17">
        <v>45293</v>
      </c>
      <c r="B537" s="18"/>
      <c r="C537" s="19" t="s">
        <v>33</v>
      </c>
      <c r="D537" s="30" t="s">
        <v>245</v>
      </c>
      <c r="E537" s="18" t="s">
        <v>14</v>
      </c>
      <c r="F537" s="31"/>
      <c r="G537" s="31">
        <v>3</v>
      </c>
      <c r="H537" s="37">
        <f t="shared" ca="1" si="7"/>
        <v>378.93200000000263</v>
      </c>
    </row>
    <row r="538" spans="1:8" x14ac:dyDescent="0.2">
      <c r="A538" s="17">
        <v>45297</v>
      </c>
      <c r="B538" s="18"/>
      <c r="C538" s="19" t="s">
        <v>250</v>
      </c>
      <c r="D538" s="30" t="s">
        <v>32</v>
      </c>
      <c r="E538" s="18" t="s">
        <v>14</v>
      </c>
      <c r="F538" s="31">
        <v>458</v>
      </c>
      <c r="G538" s="31"/>
      <c r="H538" s="37">
        <f t="shared" ca="1" si="7"/>
        <v>-79.067999999997369</v>
      </c>
    </row>
    <row r="539" spans="1:8" x14ac:dyDescent="0.2">
      <c r="A539" s="17">
        <v>45300</v>
      </c>
      <c r="B539" s="18">
        <v>1411</v>
      </c>
      <c r="C539" s="19" t="s">
        <v>342</v>
      </c>
      <c r="D539" s="30" t="s">
        <v>343</v>
      </c>
      <c r="E539" s="18" t="s">
        <v>14</v>
      </c>
      <c r="F539" s="31">
        <v>6.5</v>
      </c>
      <c r="G539" s="31"/>
      <c r="H539" s="37">
        <f t="shared" ca="1" si="7"/>
        <v>-85.567999999997369</v>
      </c>
    </row>
    <row r="540" spans="1:8" x14ac:dyDescent="0.2">
      <c r="A540" s="17">
        <v>45303</v>
      </c>
      <c r="B540" s="18"/>
      <c r="C540" s="19" t="s">
        <v>33</v>
      </c>
      <c r="D540" s="30" t="s">
        <v>40</v>
      </c>
      <c r="E540" s="18" t="s">
        <v>14</v>
      </c>
      <c r="F540" s="31"/>
      <c r="G540" s="31">
        <v>3493.86</v>
      </c>
      <c r="H540" s="37">
        <f t="shared" ca="1" si="7"/>
        <v>3408.2920000000026</v>
      </c>
    </row>
    <row r="541" spans="1:8" x14ac:dyDescent="0.2">
      <c r="A541" s="17">
        <v>45303</v>
      </c>
      <c r="B541" s="18"/>
      <c r="C541" s="19" t="s">
        <v>242</v>
      </c>
      <c r="D541" s="30" t="s">
        <v>284</v>
      </c>
      <c r="E541" s="18" t="s">
        <v>14</v>
      </c>
      <c r="F541" s="31">
        <v>78</v>
      </c>
      <c r="G541" s="31"/>
      <c r="H541" s="37">
        <f t="shared" ca="1" si="7"/>
        <v>3330.2920000000026</v>
      </c>
    </row>
    <row r="542" spans="1:8" x14ac:dyDescent="0.2">
      <c r="A542" s="17">
        <v>45303</v>
      </c>
      <c r="B542" s="18"/>
      <c r="C542" s="19" t="s">
        <v>36</v>
      </c>
      <c r="D542" s="30" t="s">
        <v>323</v>
      </c>
      <c r="E542" s="18" t="s">
        <v>14</v>
      </c>
      <c r="F542" s="31">
        <v>395.76</v>
      </c>
      <c r="G542" s="31"/>
      <c r="H542" s="37">
        <f t="shared" ca="1" si="7"/>
        <v>2934.5320000000029</v>
      </c>
    </row>
    <row r="543" spans="1:8" x14ac:dyDescent="0.2">
      <c r="A543" s="17">
        <v>45303</v>
      </c>
      <c r="B543" s="18"/>
      <c r="C543" s="19" t="s">
        <v>46</v>
      </c>
      <c r="D543" s="30" t="s">
        <v>47</v>
      </c>
      <c r="E543" s="18" t="s">
        <v>14</v>
      </c>
      <c r="F543" s="31">
        <v>214.06</v>
      </c>
      <c r="G543" s="31"/>
      <c r="H543" s="37">
        <f t="shared" ca="1" si="7"/>
        <v>2720.4720000000029</v>
      </c>
    </row>
    <row r="544" spans="1:8" x14ac:dyDescent="0.2">
      <c r="A544" s="17">
        <v>45307</v>
      </c>
      <c r="B544" s="18"/>
      <c r="C544" s="19" t="s">
        <v>36</v>
      </c>
      <c r="D544" s="30" t="s">
        <v>278</v>
      </c>
      <c r="E544" s="18" t="s">
        <v>14</v>
      </c>
      <c r="F544" s="31">
        <v>397.43</v>
      </c>
      <c r="G544" s="31"/>
      <c r="H544" s="37">
        <f t="shared" ca="1" si="7"/>
        <v>2323.0420000000031</v>
      </c>
    </row>
    <row r="545" spans="1:8" x14ac:dyDescent="0.2">
      <c r="A545" s="17">
        <v>45310</v>
      </c>
      <c r="B545" s="18"/>
      <c r="C545" s="19" t="s">
        <v>27</v>
      </c>
      <c r="D545" s="30" t="s">
        <v>30</v>
      </c>
      <c r="E545" s="18" t="s">
        <v>14</v>
      </c>
      <c r="F545" s="31">
        <v>66.62</v>
      </c>
      <c r="G545" s="31"/>
      <c r="H545" s="37">
        <f t="shared" ca="1" si="7"/>
        <v>2256.4220000000032</v>
      </c>
    </row>
    <row r="546" spans="1:8" x14ac:dyDescent="0.2">
      <c r="A546" s="17">
        <v>45310</v>
      </c>
      <c r="B546" s="18"/>
      <c r="C546" s="19" t="s">
        <v>259</v>
      </c>
      <c r="D546" s="30" t="s">
        <v>38</v>
      </c>
      <c r="E546" s="18" t="s">
        <v>14</v>
      </c>
      <c r="F546" s="31">
        <v>79.989999999999995</v>
      </c>
      <c r="G546" s="31"/>
      <c r="H546" s="37">
        <f t="shared" ca="1" si="7"/>
        <v>2176.4320000000034</v>
      </c>
    </row>
    <row r="547" spans="1:8" x14ac:dyDescent="0.2">
      <c r="A547" s="17">
        <v>45317</v>
      </c>
      <c r="B547" s="18"/>
      <c r="C547" s="19" t="s">
        <v>33</v>
      </c>
      <c r="D547" s="30" t="s">
        <v>40</v>
      </c>
      <c r="E547" s="18" t="s">
        <v>14</v>
      </c>
      <c r="F547" s="31"/>
      <c r="G547" s="31">
        <v>3493.87</v>
      </c>
      <c r="H547" s="37">
        <f t="shared" ca="1" si="7"/>
        <v>5670.3020000000033</v>
      </c>
    </row>
    <row r="548" spans="1:8" x14ac:dyDescent="0.2">
      <c r="A548" s="17">
        <v>45317</v>
      </c>
      <c r="B548" s="18"/>
      <c r="C548" s="19" t="s">
        <v>29</v>
      </c>
      <c r="D548" s="30" t="s">
        <v>45</v>
      </c>
      <c r="E548" s="18" t="s">
        <v>14</v>
      </c>
      <c r="F548" s="31">
        <v>211.29</v>
      </c>
      <c r="G548" s="31"/>
      <c r="H548" s="37">
        <f t="shared" ca="1" si="7"/>
        <v>5459.0120000000034</v>
      </c>
    </row>
    <row r="549" spans="1:8" x14ac:dyDescent="0.2">
      <c r="A549" s="17">
        <v>45317</v>
      </c>
      <c r="B549" s="18"/>
      <c r="C549" s="19" t="s">
        <v>28</v>
      </c>
      <c r="D549" s="30" t="s">
        <v>55</v>
      </c>
      <c r="E549" s="18" t="s">
        <v>14</v>
      </c>
      <c r="F549" s="31">
        <v>1209.96</v>
      </c>
      <c r="G549" s="31"/>
      <c r="H549" s="37">
        <f t="shared" ca="1" si="7"/>
        <v>4249.0520000000033</v>
      </c>
    </row>
    <row r="550" spans="1:8" x14ac:dyDescent="0.2">
      <c r="A550" s="17">
        <v>45318</v>
      </c>
      <c r="B550" s="18"/>
      <c r="C550" s="19" t="s">
        <v>250</v>
      </c>
      <c r="D550" s="30" t="s">
        <v>32</v>
      </c>
      <c r="E550" s="18" t="s">
        <v>14</v>
      </c>
      <c r="F550" s="31">
        <v>188</v>
      </c>
      <c r="G550" s="31"/>
      <c r="H550" s="37">
        <f t="shared" ca="1" si="7"/>
        <v>4061.0520000000033</v>
      </c>
    </row>
    <row r="551" spans="1:8" x14ac:dyDescent="0.2">
      <c r="A551" s="17">
        <v>45318</v>
      </c>
      <c r="B551" s="18"/>
      <c r="C551" s="19" t="s">
        <v>33</v>
      </c>
      <c r="D551" s="30" t="s">
        <v>318</v>
      </c>
      <c r="E551" s="18" t="s">
        <v>14</v>
      </c>
      <c r="F551" s="31"/>
      <c r="G551" s="31">
        <v>55</v>
      </c>
      <c r="H551" s="37">
        <f t="shared" ca="1" si="7"/>
        <v>4116.0520000000033</v>
      </c>
    </row>
    <row r="552" spans="1:8" x14ac:dyDescent="0.2">
      <c r="A552" s="17">
        <v>45320</v>
      </c>
      <c r="B552" s="18"/>
      <c r="C552" s="19" t="s">
        <v>33</v>
      </c>
      <c r="D552" s="30" t="s">
        <v>52</v>
      </c>
      <c r="E552" s="18" t="s">
        <v>14</v>
      </c>
      <c r="F552" s="31"/>
      <c r="G552" s="31">
        <v>2300</v>
      </c>
      <c r="H552" s="37">
        <f t="shared" ca="1" si="7"/>
        <v>6416.0520000000033</v>
      </c>
    </row>
    <row r="553" spans="1:8" x14ac:dyDescent="0.2">
      <c r="A553" s="17">
        <v>45320</v>
      </c>
      <c r="B553" s="18"/>
      <c r="C553" s="19" t="s">
        <v>344</v>
      </c>
      <c r="D553" s="30" t="s">
        <v>47</v>
      </c>
      <c r="E553" s="18" t="s">
        <v>14</v>
      </c>
      <c r="F553" s="31">
        <v>6400</v>
      </c>
      <c r="G553" s="31"/>
      <c r="H553" s="37">
        <f t="shared" ca="1" si="7"/>
        <v>16.052000000003318</v>
      </c>
    </row>
    <row r="554" spans="1:8" x14ac:dyDescent="0.2">
      <c r="A554" s="17">
        <v>45322</v>
      </c>
      <c r="B554" s="18"/>
      <c r="C554" s="19" t="s">
        <v>33</v>
      </c>
      <c r="D554" s="30" t="s">
        <v>338</v>
      </c>
      <c r="E554" s="18" t="s">
        <v>14</v>
      </c>
      <c r="F554" s="31"/>
      <c r="G554" s="31">
        <v>6</v>
      </c>
      <c r="H554" s="37">
        <f t="shared" ca="1" si="7"/>
        <v>22.052000000003318</v>
      </c>
    </row>
    <row r="555" spans="1:8" x14ac:dyDescent="0.2">
      <c r="A555" s="17">
        <v>45331</v>
      </c>
      <c r="B555" s="18"/>
      <c r="C555" s="19" t="s">
        <v>33</v>
      </c>
      <c r="D555" s="30" t="s">
        <v>40</v>
      </c>
      <c r="E555" s="18" t="s">
        <v>14</v>
      </c>
      <c r="F555" s="31"/>
      <c r="G555" s="31">
        <v>3492.75</v>
      </c>
      <c r="H555" s="37">
        <f t="shared" ca="1" si="7"/>
        <v>3514.8020000000033</v>
      </c>
    </row>
    <row r="556" spans="1:8" x14ac:dyDescent="0.2">
      <c r="A556" s="17">
        <v>45331</v>
      </c>
      <c r="B556" s="18"/>
      <c r="C556" s="19" t="s">
        <v>46</v>
      </c>
      <c r="D556" s="30" t="s">
        <v>47</v>
      </c>
      <c r="E556" s="18" t="s">
        <v>14</v>
      </c>
      <c r="F556" s="31">
        <v>164.75</v>
      </c>
      <c r="G556" s="31"/>
      <c r="H556" s="37">
        <f t="shared" ca="1" si="7"/>
        <v>3350.0520000000033</v>
      </c>
    </row>
    <row r="557" spans="1:8" x14ac:dyDescent="0.2">
      <c r="A557" s="17">
        <v>45331</v>
      </c>
      <c r="B557" s="18"/>
      <c r="C557" s="19" t="s">
        <v>242</v>
      </c>
      <c r="D557" s="30" t="s">
        <v>284</v>
      </c>
      <c r="E557" s="18" t="s">
        <v>14</v>
      </c>
      <c r="F557" s="31">
        <v>78</v>
      </c>
      <c r="G557" s="31"/>
      <c r="H557" s="37">
        <f t="shared" ca="1" si="7"/>
        <v>3272.0520000000033</v>
      </c>
    </row>
    <row r="558" spans="1:8" x14ac:dyDescent="0.2">
      <c r="A558" s="17">
        <v>45331</v>
      </c>
      <c r="B558" s="18"/>
      <c r="C558" s="19" t="s">
        <v>36</v>
      </c>
      <c r="D558" s="30" t="s">
        <v>323</v>
      </c>
      <c r="E558" s="18" t="s">
        <v>14</v>
      </c>
      <c r="F558" s="31">
        <v>395.76</v>
      </c>
      <c r="G558" s="31"/>
      <c r="H558" s="37">
        <f t="shared" ca="1" si="7"/>
        <v>2876.2920000000031</v>
      </c>
    </row>
    <row r="559" spans="1:8" x14ac:dyDescent="0.2">
      <c r="A559" s="17">
        <v>45331</v>
      </c>
      <c r="B559" s="18"/>
      <c r="C559" s="19" t="s">
        <v>250</v>
      </c>
      <c r="D559" s="30" t="s">
        <v>32</v>
      </c>
      <c r="E559" s="18" t="s">
        <v>14</v>
      </c>
      <c r="F559" s="31">
        <v>388</v>
      </c>
      <c r="G559" s="31"/>
      <c r="H559" s="37">
        <f t="shared" ca="1" si="7"/>
        <v>2488.2920000000031</v>
      </c>
    </row>
    <row r="560" spans="1:8" x14ac:dyDescent="0.2">
      <c r="A560" s="17">
        <v>45331</v>
      </c>
      <c r="B560" s="18"/>
      <c r="C560" s="19" t="s">
        <v>271</v>
      </c>
      <c r="D560" s="30" t="s">
        <v>47</v>
      </c>
      <c r="E560" s="18" t="s">
        <v>14</v>
      </c>
      <c r="F560" s="31">
        <v>2000</v>
      </c>
      <c r="G560" s="31"/>
      <c r="H560" s="37">
        <f t="shared" ca="1" si="7"/>
        <v>488.2920000000031</v>
      </c>
    </row>
    <row r="561" spans="1:8" x14ac:dyDescent="0.2">
      <c r="A561" s="17">
        <v>45345</v>
      </c>
      <c r="B561" s="18"/>
      <c r="C561" s="19" t="s">
        <v>33</v>
      </c>
      <c r="D561" s="30" t="s">
        <v>40</v>
      </c>
      <c r="E561" s="18" t="s">
        <v>14</v>
      </c>
      <c r="F561" s="31"/>
      <c r="G561" s="31">
        <v>3492.76</v>
      </c>
      <c r="H561" s="37">
        <f t="shared" ca="1" si="7"/>
        <v>3981.0520000000033</v>
      </c>
    </row>
    <row r="562" spans="1:8" x14ac:dyDescent="0.2">
      <c r="A562" s="17">
        <v>45345</v>
      </c>
      <c r="B562" s="18"/>
      <c r="C562" s="19" t="s">
        <v>33</v>
      </c>
      <c r="D562" s="30" t="s">
        <v>345</v>
      </c>
      <c r="E562" s="18" t="s">
        <v>14</v>
      </c>
      <c r="F562" s="31"/>
      <c r="G562" s="31">
        <v>965</v>
      </c>
      <c r="H562" s="37">
        <f t="shared" ca="1" si="7"/>
        <v>4946.0520000000033</v>
      </c>
    </row>
    <row r="563" spans="1:8" x14ac:dyDescent="0.2">
      <c r="A563" s="17">
        <v>45345</v>
      </c>
      <c r="B563" s="18"/>
      <c r="C563" s="19" t="s">
        <v>36</v>
      </c>
      <c r="D563" s="30" t="s">
        <v>278</v>
      </c>
      <c r="E563" s="18" t="s">
        <v>14</v>
      </c>
      <c r="F563" s="31">
        <v>397.43</v>
      </c>
      <c r="G563" s="31"/>
      <c r="H563" s="37">
        <f t="shared" ca="1" si="7"/>
        <v>4548.622000000003</v>
      </c>
    </row>
    <row r="564" spans="1:8" x14ac:dyDescent="0.2">
      <c r="A564" s="17">
        <v>45345</v>
      </c>
      <c r="B564" s="18"/>
      <c r="C564" s="19" t="s">
        <v>58</v>
      </c>
      <c r="D564" s="30" t="s">
        <v>30</v>
      </c>
      <c r="E564" s="18" t="s">
        <v>14</v>
      </c>
      <c r="F564" s="31">
        <v>74.989999999999995</v>
      </c>
      <c r="G564" s="31"/>
      <c r="H564" s="37">
        <f t="shared" ca="1" si="7"/>
        <v>4473.6320000000032</v>
      </c>
    </row>
    <row r="565" spans="1:8" x14ac:dyDescent="0.2">
      <c r="A565" s="17">
        <v>45345</v>
      </c>
      <c r="B565" s="18"/>
      <c r="C565" s="19" t="s">
        <v>259</v>
      </c>
      <c r="D565" s="30" t="s">
        <v>38</v>
      </c>
      <c r="E565" s="18" t="s">
        <v>14</v>
      </c>
      <c r="F565" s="31">
        <v>79.989999999999995</v>
      </c>
      <c r="G565" s="31"/>
      <c r="H565" s="37">
        <f t="shared" ca="1" si="7"/>
        <v>4393.6420000000035</v>
      </c>
    </row>
    <row r="566" spans="1:8" x14ac:dyDescent="0.2">
      <c r="A566" s="17">
        <v>45345</v>
      </c>
      <c r="B566" s="18"/>
      <c r="C566" s="19" t="s">
        <v>250</v>
      </c>
      <c r="D566" s="30" t="s">
        <v>32</v>
      </c>
      <c r="E566" s="18" t="s">
        <v>14</v>
      </c>
      <c r="F566" s="31">
        <v>406.72</v>
      </c>
      <c r="G566" s="31"/>
      <c r="H566" s="37">
        <f t="shared" ca="1" si="7"/>
        <v>3986.9220000000032</v>
      </c>
    </row>
    <row r="567" spans="1:8" x14ac:dyDescent="0.2">
      <c r="A567" s="17">
        <v>45349</v>
      </c>
      <c r="B567" s="18"/>
      <c r="C567" s="19" t="s">
        <v>33</v>
      </c>
      <c r="D567" s="30" t="s">
        <v>61</v>
      </c>
      <c r="E567" s="18" t="s">
        <v>14</v>
      </c>
      <c r="F567" s="31"/>
      <c r="G567" s="31">
        <v>1612</v>
      </c>
      <c r="H567" s="37">
        <f t="shared" ca="1" si="7"/>
        <v>5598.9220000000032</v>
      </c>
    </row>
    <row r="568" spans="1:8" x14ac:dyDescent="0.2">
      <c r="A568" s="17">
        <v>45350</v>
      </c>
      <c r="B568" s="18"/>
      <c r="C568" s="19" t="s">
        <v>346</v>
      </c>
      <c r="D568" s="30" t="s">
        <v>347</v>
      </c>
      <c r="E568" s="18" t="s">
        <v>14</v>
      </c>
      <c r="F568" s="31">
        <v>1650</v>
      </c>
      <c r="G568" s="31"/>
      <c r="H568" s="37">
        <f t="shared" ca="1" si="7"/>
        <v>3948.9220000000032</v>
      </c>
    </row>
    <row r="569" spans="1:8" x14ac:dyDescent="0.2">
      <c r="A569" s="17">
        <v>45351</v>
      </c>
      <c r="B569" s="18"/>
      <c r="C569" s="19" t="s">
        <v>33</v>
      </c>
      <c r="D569" s="30" t="s">
        <v>245</v>
      </c>
      <c r="E569" s="18" t="s">
        <v>14</v>
      </c>
      <c r="F569" s="31"/>
      <c r="G569" s="31">
        <v>3</v>
      </c>
      <c r="H569" s="37">
        <f t="shared" ca="1" si="7"/>
        <v>3951.9220000000032</v>
      </c>
    </row>
    <row r="570" spans="1:8" x14ac:dyDescent="0.2">
      <c r="A570" s="17">
        <v>45352</v>
      </c>
      <c r="B570" s="18"/>
      <c r="C570" s="19" t="s">
        <v>28</v>
      </c>
      <c r="D570" s="30" t="s">
        <v>55</v>
      </c>
      <c r="E570" s="18" t="s">
        <v>14</v>
      </c>
      <c r="F570" s="31">
        <v>1209.9000000000001</v>
      </c>
      <c r="G570" s="31"/>
      <c r="H570" s="37">
        <f t="shared" ca="1" si="7"/>
        <v>2742.0220000000031</v>
      </c>
    </row>
    <row r="571" spans="1:8" x14ac:dyDescent="0.2">
      <c r="A571" s="17">
        <v>45352</v>
      </c>
      <c r="B571" s="18"/>
      <c r="C571" s="19" t="s">
        <v>29</v>
      </c>
      <c r="D571" s="30" t="s">
        <v>45</v>
      </c>
      <c r="E571" s="18" t="s">
        <v>14</v>
      </c>
      <c r="F571" s="31">
        <v>211.29</v>
      </c>
      <c r="G571" s="31"/>
      <c r="H571" s="37">
        <f t="shared" ca="1" si="7"/>
        <v>2530.7320000000032</v>
      </c>
    </row>
    <row r="572" spans="1:8" x14ac:dyDescent="0.2">
      <c r="A572" s="17">
        <v>45355</v>
      </c>
      <c r="B572" s="18"/>
      <c r="C572" s="19" t="s">
        <v>33</v>
      </c>
      <c r="D572" s="30" t="s">
        <v>318</v>
      </c>
      <c r="E572" s="18" t="s">
        <v>14</v>
      </c>
      <c r="F572" s="31"/>
      <c r="G572" s="31">
        <v>55</v>
      </c>
      <c r="H572" s="37">
        <f t="shared" ca="1" si="7"/>
        <v>2585.7320000000032</v>
      </c>
    </row>
    <row r="573" spans="1:8" x14ac:dyDescent="0.2">
      <c r="A573" s="17">
        <v>45355</v>
      </c>
      <c r="B573" s="18">
        <v>1412</v>
      </c>
      <c r="C573" s="19" t="s">
        <v>348</v>
      </c>
      <c r="D573" s="30" t="s">
        <v>349</v>
      </c>
      <c r="E573" s="18" t="s">
        <v>14</v>
      </c>
      <c r="F573" s="31">
        <v>35</v>
      </c>
      <c r="G573" s="31"/>
      <c r="H573" s="37">
        <f t="shared" ca="1" si="7"/>
        <v>2550.7320000000032</v>
      </c>
    </row>
    <row r="574" spans="1:8" x14ac:dyDescent="0.2">
      <c r="A574" s="17">
        <v>45359</v>
      </c>
      <c r="B574" s="18"/>
      <c r="C574" s="19" t="s">
        <v>33</v>
      </c>
      <c r="D574" s="30" t="s">
        <v>40</v>
      </c>
      <c r="E574" s="18" t="s">
        <v>14</v>
      </c>
      <c r="F574" s="31"/>
      <c r="G574" s="31">
        <v>3492.75</v>
      </c>
      <c r="H574" s="37">
        <f t="shared" ca="1" si="7"/>
        <v>6043.4820000000036</v>
      </c>
    </row>
    <row r="575" spans="1:8" x14ac:dyDescent="0.2">
      <c r="A575" s="17">
        <v>45359</v>
      </c>
      <c r="B575" s="18"/>
      <c r="C575" s="19" t="s">
        <v>271</v>
      </c>
      <c r="D575" s="30" t="s">
        <v>47</v>
      </c>
      <c r="E575" s="18" t="s">
        <v>14</v>
      </c>
      <c r="F575" s="31">
        <v>5510.65</v>
      </c>
      <c r="G575" s="31"/>
      <c r="H575" s="37">
        <f t="shared" ca="1" si="7"/>
        <v>532.83200000000397</v>
      </c>
    </row>
    <row r="576" spans="1:8" x14ac:dyDescent="0.2">
      <c r="A576" s="17">
        <v>45359</v>
      </c>
      <c r="B576" s="18"/>
      <c r="C576" s="19" t="s">
        <v>46</v>
      </c>
      <c r="D576" s="30" t="s">
        <v>47</v>
      </c>
      <c r="E576" s="18" t="s">
        <v>14</v>
      </c>
      <c r="F576" s="31">
        <v>176.4</v>
      </c>
      <c r="G576" s="31"/>
      <c r="H576" s="37">
        <f t="shared" ca="1" si="7"/>
        <v>356.432000000004</v>
      </c>
    </row>
    <row r="577" spans="1:8" x14ac:dyDescent="0.2">
      <c r="A577" s="17">
        <v>45359</v>
      </c>
      <c r="B577" s="18"/>
      <c r="C577" s="19" t="s">
        <v>242</v>
      </c>
      <c r="D577" s="30" t="s">
        <v>284</v>
      </c>
      <c r="E577" s="18" t="s">
        <v>14</v>
      </c>
      <c r="F577" s="31">
        <v>78</v>
      </c>
      <c r="G577" s="31"/>
      <c r="H577" s="37">
        <f t="shared" ca="1" si="7"/>
        <v>278.432000000004</v>
      </c>
    </row>
    <row r="578" spans="1:8" x14ac:dyDescent="0.2">
      <c r="A578" s="17">
        <v>45359</v>
      </c>
      <c r="B578" s="18"/>
      <c r="C578" s="19" t="s">
        <v>36</v>
      </c>
      <c r="D578" s="30" t="s">
        <v>323</v>
      </c>
      <c r="E578" s="18" t="s">
        <v>14</v>
      </c>
      <c r="F578" s="31">
        <v>395.76</v>
      </c>
      <c r="G578" s="31"/>
      <c r="H578" s="37">
        <f t="shared" ca="1" si="7"/>
        <v>-117.327999999996</v>
      </c>
    </row>
    <row r="579" spans="1:8" x14ac:dyDescent="0.2">
      <c r="A579" s="17">
        <v>45359</v>
      </c>
      <c r="B579" s="18"/>
      <c r="C579" s="19" t="s">
        <v>33</v>
      </c>
      <c r="D579" s="30" t="s">
        <v>52</v>
      </c>
      <c r="E579" s="18" t="s">
        <v>14</v>
      </c>
      <c r="F579" s="31"/>
      <c r="G579" s="31">
        <v>251.09</v>
      </c>
      <c r="H579" s="37">
        <f t="shared" ca="1" si="7"/>
        <v>133.76200000000401</v>
      </c>
    </row>
    <row r="580" spans="1:8" x14ac:dyDescent="0.2">
      <c r="A580" s="17">
        <v>45367</v>
      </c>
      <c r="B580" s="18"/>
      <c r="C580" s="19" t="s">
        <v>250</v>
      </c>
      <c r="D580" s="30" t="s">
        <v>32</v>
      </c>
      <c r="E580" s="18" t="s">
        <v>14</v>
      </c>
      <c r="F580" s="31">
        <v>108</v>
      </c>
      <c r="G580" s="31"/>
      <c r="H580" s="37">
        <f t="shared" ca="1" si="7"/>
        <v>25.762000000004008</v>
      </c>
    </row>
    <row r="581" spans="1:8" x14ac:dyDescent="0.2">
      <c r="A581" s="17">
        <v>45371</v>
      </c>
      <c r="B581" s="18"/>
      <c r="C581" s="19" t="s">
        <v>350</v>
      </c>
      <c r="D581" s="30" t="s">
        <v>351</v>
      </c>
      <c r="E581" s="18" t="s">
        <v>14</v>
      </c>
      <c r="F581" s="31">
        <v>250</v>
      </c>
      <c r="G581" s="31"/>
      <c r="H581" s="37">
        <f t="shared" ca="1" si="7"/>
        <v>-224.23799999999599</v>
      </c>
    </row>
    <row r="582" spans="1:8" x14ac:dyDescent="0.2">
      <c r="A582" s="17">
        <v>45371</v>
      </c>
      <c r="B582" s="18"/>
      <c r="C582" s="19" t="s">
        <v>33</v>
      </c>
      <c r="D582" s="30" t="s">
        <v>352</v>
      </c>
      <c r="E582" s="18" t="s">
        <v>14</v>
      </c>
      <c r="F582" s="31"/>
      <c r="G582" s="31">
        <v>2698.96</v>
      </c>
      <c r="H582" s="37">
        <f t="shared" ca="1" si="7"/>
        <v>2474.7220000000038</v>
      </c>
    </row>
    <row r="583" spans="1:8" x14ac:dyDescent="0.2">
      <c r="A583" s="17">
        <v>45373</v>
      </c>
      <c r="B583" s="18"/>
      <c r="C583" s="19" t="s">
        <v>33</v>
      </c>
      <c r="D583" s="30" t="s">
        <v>40</v>
      </c>
      <c r="E583" s="18" t="s">
        <v>14</v>
      </c>
      <c r="F583" s="31"/>
      <c r="G583" s="31">
        <v>3492.75</v>
      </c>
      <c r="H583" s="37">
        <f t="shared" ca="1" si="7"/>
        <v>5967.4720000000034</v>
      </c>
    </row>
    <row r="584" spans="1:8" x14ac:dyDescent="0.2">
      <c r="A584" s="17">
        <v>45376</v>
      </c>
      <c r="B584" s="18"/>
      <c r="C584" s="19" t="s">
        <v>66</v>
      </c>
      <c r="D584" s="30" t="s">
        <v>353</v>
      </c>
      <c r="E584" s="18" t="s">
        <v>14</v>
      </c>
      <c r="F584" s="31">
        <v>300</v>
      </c>
      <c r="G584" s="31"/>
      <c r="H584" s="37">
        <f t="shared" ca="1" si="7"/>
        <v>5667.4720000000034</v>
      </c>
    </row>
    <row r="585" spans="1:8" x14ac:dyDescent="0.2">
      <c r="A585" s="17">
        <v>45376</v>
      </c>
      <c r="B585" s="18"/>
      <c r="C585" s="19" t="s">
        <v>36</v>
      </c>
      <c r="D585" s="30" t="s">
        <v>278</v>
      </c>
      <c r="E585" s="18" t="s">
        <v>14</v>
      </c>
      <c r="F585" s="31">
        <v>397.43</v>
      </c>
      <c r="G585" s="31"/>
      <c r="H585" s="37">
        <f t="shared" ca="1" si="7"/>
        <v>5270.0420000000031</v>
      </c>
    </row>
    <row r="586" spans="1:8" x14ac:dyDescent="0.2">
      <c r="A586" s="17">
        <v>45378</v>
      </c>
      <c r="B586" s="18"/>
      <c r="C586" s="19" t="s">
        <v>27</v>
      </c>
      <c r="D586" s="30" t="s">
        <v>30</v>
      </c>
      <c r="E586" s="18" t="s">
        <v>14</v>
      </c>
      <c r="F586" s="31">
        <v>75.12</v>
      </c>
      <c r="G586" s="31"/>
      <c r="H586" s="37">
        <f t="shared" ca="1" si="7"/>
        <v>5194.9220000000032</v>
      </c>
    </row>
    <row r="587" spans="1:8" x14ac:dyDescent="0.2">
      <c r="A587" s="17">
        <v>45378</v>
      </c>
      <c r="B587" s="18"/>
      <c r="C587" s="19" t="s">
        <v>259</v>
      </c>
      <c r="D587" s="30" t="s">
        <v>38</v>
      </c>
      <c r="E587" s="18" t="s">
        <v>14</v>
      </c>
      <c r="F587" s="31">
        <v>79.989999999999995</v>
      </c>
      <c r="G587" s="31"/>
      <c r="H587" s="37">
        <f t="shared" ca="1" si="7"/>
        <v>5114.9320000000034</v>
      </c>
    </row>
    <row r="588" spans="1:8" x14ac:dyDescent="0.2">
      <c r="A588" s="17">
        <v>45378</v>
      </c>
      <c r="B588" s="18"/>
      <c r="C588" s="19" t="s">
        <v>244</v>
      </c>
      <c r="D588" s="30" t="s">
        <v>47</v>
      </c>
      <c r="E588" s="18" t="s">
        <v>14</v>
      </c>
      <c r="F588" s="31">
        <v>100</v>
      </c>
      <c r="G588" s="31"/>
      <c r="H588" s="37">
        <f t="shared" ca="1" si="7"/>
        <v>5014.9320000000034</v>
      </c>
    </row>
    <row r="589" spans="1:8" x14ac:dyDescent="0.2">
      <c r="A589" s="17">
        <v>45379</v>
      </c>
      <c r="B589" s="18"/>
      <c r="C589" s="19" t="s">
        <v>28</v>
      </c>
      <c r="D589" s="30" t="s">
        <v>55</v>
      </c>
      <c r="E589" s="18" t="s">
        <v>14</v>
      </c>
      <c r="F589" s="31">
        <v>1209.9000000000001</v>
      </c>
      <c r="G589" s="31"/>
      <c r="H589" s="37">
        <f t="shared" ca="1" si="7"/>
        <v>3805.0320000000033</v>
      </c>
    </row>
    <row r="590" spans="1:8" x14ac:dyDescent="0.2">
      <c r="A590" s="17">
        <v>45380</v>
      </c>
      <c r="B590" s="18"/>
      <c r="C590" s="19" t="s">
        <v>250</v>
      </c>
      <c r="D590" s="30" t="s">
        <v>32</v>
      </c>
      <c r="E590" s="18" t="s">
        <v>14</v>
      </c>
      <c r="F590" s="31">
        <v>381.1</v>
      </c>
      <c r="G590" s="31"/>
      <c r="H590" s="37">
        <f t="shared" ca="1" si="7"/>
        <v>3423.9320000000034</v>
      </c>
    </row>
    <row r="591" spans="1:8" x14ac:dyDescent="0.2">
      <c r="A591" s="17">
        <v>45380</v>
      </c>
      <c r="B591" s="18"/>
      <c r="C591" s="19" t="s">
        <v>33</v>
      </c>
      <c r="D591" s="30" t="s">
        <v>245</v>
      </c>
      <c r="E591" s="18" t="s">
        <v>14</v>
      </c>
      <c r="F591" s="31"/>
      <c r="G591" s="31">
        <v>3</v>
      </c>
      <c r="H591" s="37">
        <f t="shared" ca="1" si="7"/>
        <v>3426.9320000000034</v>
      </c>
    </row>
    <row r="592" spans="1:8" x14ac:dyDescent="0.2">
      <c r="A592" s="17">
        <v>45383</v>
      </c>
      <c r="B592" s="18"/>
      <c r="C592" s="19" t="s">
        <v>29</v>
      </c>
      <c r="D592" s="30" t="s">
        <v>45</v>
      </c>
      <c r="E592" s="18" t="s">
        <v>14</v>
      </c>
      <c r="F592" s="31">
        <v>238.51</v>
      </c>
      <c r="G592" s="31"/>
      <c r="H592" s="37">
        <f t="shared" ca="1" si="7"/>
        <v>3188.4220000000032</v>
      </c>
    </row>
    <row r="593" spans="1:8" x14ac:dyDescent="0.2">
      <c r="A593" s="17">
        <v>45383</v>
      </c>
      <c r="B593" s="18"/>
      <c r="C593" s="19" t="s">
        <v>33</v>
      </c>
      <c r="D593" s="30" t="s">
        <v>52</v>
      </c>
      <c r="E593" s="18" t="s">
        <v>14</v>
      </c>
      <c r="F593" s="31"/>
      <c r="G593" s="31">
        <v>3400</v>
      </c>
      <c r="H593" s="37">
        <f t="shared" ca="1" si="7"/>
        <v>6588.4220000000032</v>
      </c>
    </row>
    <row r="594" spans="1:8" x14ac:dyDescent="0.2">
      <c r="A594" s="17">
        <v>45383</v>
      </c>
      <c r="B594" s="18"/>
      <c r="C594" s="19" t="s">
        <v>271</v>
      </c>
      <c r="D594" s="30" t="s">
        <v>47</v>
      </c>
      <c r="E594" s="18" t="s">
        <v>14</v>
      </c>
      <c r="F594" s="31">
        <v>6507.01</v>
      </c>
      <c r="G594" s="31"/>
      <c r="H594" s="37">
        <f t="shared" ca="1" si="7"/>
        <v>81.41200000000299</v>
      </c>
    </row>
    <row r="595" spans="1:8" x14ac:dyDescent="0.2">
      <c r="A595" s="17">
        <v>45384</v>
      </c>
      <c r="B595" s="18"/>
      <c r="C595" s="19" t="s">
        <v>66</v>
      </c>
      <c r="D595" s="30" t="s">
        <v>318</v>
      </c>
      <c r="E595" s="18" t="s">
        <v>14</v>
      </c>
      <c r="F595" s="31"/>
      <c r="G595" s="31">
        <v>60.52</v>
      </c>
      <c r="H595" s="37">
        <f t="shared" ca="1" si="7"/>
        <v>141.932000000003</v>
      </c>
    </row>
    <row r="596" spans="1:8" x14ac:dyDescent="0.2">
      <c r="A596" s="17">
        <v>45387</v>
      </c>
      <c r="B596" s="18"/>
      <c r="C596" s="19" t="s">
        <v>354</v>
      </c>
      <c r="D596" s="30" t="s">
        <v>351</v>
      </c>
      <c r="E596" s="18" t="s">
        <v>14</v>
      </c>
      <c r="F596" s="31"/>
      <c r="G596" s="31">
        <v>100</v>
      </c>
      <c r="H596" s="37">
        <f t="shared" ca="1" si="7"/>
        <v>241.932000000003</v>
      </c>
    </row>
    <row r="597" spans="1:8" x14ac:dyDescent="0.2">
      <c r="A597" s="17">
        <v>45387</v>
      </c>
      <c r="B597" s="18"/>
      <c r="C597" s="19" t="s">
        <v>33</v>
      </c>
      <c r="D597" s="30" t="s">
        <v>40</v>
      </c>
      <c r="E597" s="18" t="s">
        <v>14</v>
      </c>
      <c r="F597" s="31"/>
      <c r="G597" s="31">
        <v>3492.75</v>
      </c>
      <c r="H597" s="37">
        <f t="shared" ca="1" si="7"/>
        <v>3734.682000000003</v>
      </c>
    </row>
    <row r="598" spans="1:8" x14ac:dyDescent="0.2">
      <c r="A598" s="17">
        <v>45387</v>
      </c>
      <c r="B598" s="18"/>
      <c r="C598" s="19" t="s">
        <v>242</v>
      </c>
      <c r="D598" s="30" t="s">
        <v>284</v>
      </c>
      <c r="E598" s="18" t="s">
        <v>14</v>
      </c>
      <c r="F598" s="31">
        <v>78</v>
      </c>
      <c r="G598" s="31"/>
      <c r="H598" s="37">
        <f t="shared" ca="1" si="7"/>
        <v>3656.682000000003</v>
      </c>
    </row>
    <row r="599" spans="1:8" x14ac:dyDescent="0.2">
      <c r="A599" s="17">
        <v>45387</v>
      </c>
      <c r="B599" s="18"/>
      <c r="C599" s="19" t="s">
        <v>36</v>
      </c>
      <c r="D599" s="30" t="s">
        <v>323</v>
      </c>
      <c r="E599" s="18" t="s">
        <v>14</v>
      </c>
      <c r="F599" s="31">
        <v>395.76</v>
      </c>
      <c r="G599" s="31"/>
      <c r="H599" s="37">
        <f t="shared" ca="1" si="7"/>
        <v>3260.9220000000032</v>
      </c>
    </row>
    <row r="600" spans="1:8" x14ac:dyDescent="0.2">
      <c r="A600" s="17">
        <v>45387</v>
      </c>
      <c r="B600" s="18"/>
      <c r="C600" s="19" t="s">
        <v>330</v>
      </c>
      <c r="D600" s="30" t="s">
        <v>47</v>
      </c>
      <c r="E600" s="18" t="s">
        <v>14</v>
      </c>
      <c r="F600" s="31">
        <v>225.11</v>
      </c>
      <c r="G600" s="31"/>
      <c r="H600" s="37">
        <f t="shared" ca="1" si="7"/>
        <v>3035.8120000000031</v>
      </c>
    </row>
    <row r="601" spans="1:8" x14ac:dyDescent="0.2">
      <c r="A601" s="17">
        <v>45387</v>
      </c>
      <c r="B601" s="18"/>
      <c r="C601" s="19" t="s">
        <v>271</v>
      </c>
      <c r="D601" s="30" t="s">
        <v>47</v>
      </c>
      <c r="E601" s="18" t="s">
        <v>14</v>
      </c>
      <c r="F601" s="31">
        <v>1144.32</v>
      </c>
      <c r="G601" s="31"/>
      <c r="H601" s="37">
        <f t="shared" ca="1" si="7"/>
        <v>1891.4920000000031</v>
      </c>
    </row>
    <row r="602" spans="1:8" x14ac:dyDescent="0.2">
      <c r="A602" s="17">
        <v>45387</v>
      </c>
      <c r="B602" s="18"/>
      <c r="C602" s="19" t="s">
        <v>244</v>
      </c>
      <c r="D602" s="30" t="s">
        <v>47</v>
      </c>
      <c r="E602" s="18" t="s">
        <v>14</v>
      </c>
      <c r="F602" s="31">
        <v>100</v>
      </c>
      <c r="G602" s="31"/>
      <c r="H602" s="37">
        <f t="shared" ca="1" si="7"/>
        <v>1791.4920000000031</v>
      </c>
    </row>
    <row r="603" spans="1:8" x14ac:dyDescent="0.2">
      <c r="A603" s="17">
        <v>45394</v>
      </c>
      <c r="B603" s="18"/>
      <c r="C603" s="19" t="s">
        <v>250</v>
      </c>
      <c r="D603" s="30" t="s">
        <v>32</v>
      </c>
      <c r="E603" s="18" t="s">
        <v>14</v>
      </c>
      <c r="F603" s="31">
        <v>256.31</v>
      </c>
      <c r="G603" s="31"/>
      <c r="H603" s="37">
        <f t="shared" ca="1" si="7"/>
        <v>1535.1820000000032</v>
      </c>
    </row>
    <row r="604" spans="1:8" x14ac:dyDescent="0.2">
      <c r="A604" s="17">
        <v>45401</v>
      </c>
      <c r="B604" s="18"/>
      <c r="C604" s="19" t="s">
        <v>33</v>
      </c>
      <c r="D604" s="30" t="s">
        <v>40</v>
      </c>
      <c r="E604" s="18" t="s">
        <v>14</v>
      </c>
      <c r="F604" s="31"/>
      <c r="G604" s="31">
        <v>3492.76</v>
      </c>
      <c r="H604" s="37">
        <f t="shared" ca="1" si="7"/>
        <v>5027.9420000000036</v>
      </c>
    </row>
    <row r="605" spans="1:8" x14ac:dyDescent="0.2">
      <c r="A605" s="17">
        <v>45401</v>
      </c>
      <c r="B605" s="18"/>
      <c r="C605" s="19" t="s">
        <v>36</v>
      </c>
      <c r="D605" s="30" t="s">
        <v>278</v>
      </c>
      <c r="E605" s="18" t="s">
        <v>14</v>
      </c>
      <c r="F605" s="31">
        <v>397.43</v>
      </c>
      <c r="G605" s="31"/>
      <c r="H605" s="37">
        <f t="shared" ca="1" si="7"/>
        <v>4630.5120000000034</v>
      </c>
    </row>
    <row r="606" spans="1:8" x14ac:dyDescent="0.2">
      <c r="A606" s="17">
        <v>45401</v>
      </c>
      <c r="B606" s="18"/>
      <c r="C606" s="19" t="s">
        <v>27</v>
      </c>
      <c r="D606" s="30" t="s">
        <v>30</v>
      </c>
      <c r="E606" s="18" t="s">
        <v>14</v>
      </c>
      <c r="F606" s="31">
        <v>86.2</v>
      </c>
      <c r="G606" s="31"/>
      <c r="H606" s="37">
        <f t="shared" ca="1" si="7"/>
        <v>4544.3120000000035</v>
      </c>
    </row>
    <row r="607" spans="1:8" x14ac:dyDescent="0.2">
      <c r="A607" s="17">
        <v>45401</v>
      </c>
      <c r="B607" s="18"/>
      <c r="C607" s="19" t="s">
        <v>259</v>
      </c>
      <c r="D607" s="30" t="s">
        <v>38</v>
      </c>
      <c r="E607" s="18" t="s">
        <v>14</v>
      </c>
      <c r="F607" s="31">
        <v>79.989999999999995</v>
      </c>
      <c r="G607" s="31"/>
      <c r="H607" s="37">
        <f t="shared" ca="1" si="7"/>
        <v>4464.3220000000038</v>
      </c>
    </row>
    <row r="608" spans="1:8" x14ac:dyDescent="0.2">
      <c r="A608" s="17">
        <v>45401</v>
      </c>
      <c r="B608" s="18"/>
      <c r="C608" s="19" t="s">
        <v>271</v>
      </c>
      <c r="D608" s="30" t="s">
        <v>47</v>
      </c>
      <c r="E608" s="18" t="s">
        <v>14</v>
      </c>
      <c r="F608" s="31">
        <v>3972.7</v>
      </c>
      <c r="G608" s="31"/>
      <c r="H608" s="37">
        <f t="shared" ca="1" si="7"/>
        <v>491.62200000000394</v>
      </c>
    </row>
    <row r="609" spans="1:8" x14ac:dyDescent="0.2">
      <c r="A609" s="17">
        <v>45408</v>
      </c>
      <c r="B609" s="18"/>
      <c r="C609" s="19" t="s">
        <v>250</v>
      </c>
      <c r="D609" s="30" t="s">
        <v>32</v>
      </c>
      <c r="E609" s="18" t="s">
        <v>14</v>
      </c>
      <c r="F609" s="31">
        <v>208</v>
      </c>
      <c r="G609" s="31"/>
      <c r="H609" s="37">
        <f t="shared" ca="1" si="7"/>
        <v>283.62200000000394</v>
      </c>
    </row>
    <row r="610" spans="1:8" x14ac:dyDescent="0.2">
      <c r="A610" s="17">
        <v>45412</v>
      </c>
      <c r="B610" s="18"/>
      <c r="C610" s="19" t="s">
        <v>33</v>
      </c>
      <c r="D610" s="30" t="s">
        <v>245</v>
      </c>
      <c r="E610" s="18" t="s">
        <v>14</v>
      </c>
      <c r="F610" s="31"/>
      <c r="G610" s="31">
        <v>3</v>
      </c>
      <c r="H610" s="37">
        <f t="shared" ca="1" si="7"/>
        <v>286.62200000000394</v>
      </c>
    </row>
    <row r="611" spans="1:8" x14ac:dyDescent="0.2">
      <c r="A611" s="17">
        <v>45413</v>
      </c>
      <c r="B611" s="18"/>
      <c r="C611" s="19" t="s">
        <v>29</v>
      </c>
      <c r="D611" s="30" t="s">
        <v>45</v>
      </c>
      <c r="E611" s="18" t="s">
        <v>14</v>
      </c>
      <c r="F611" s="31">
        <v>231.39</v>
      </c>
      <c r="G611" s="31"/>
      <c r="H611" s="37">
        <f t="shared" ca="1" si="7"/>
        <v>55.23200000000395</v>
      </c>
    </row>
    <row r="612" spans="1:8" x14ac:dyDescent="0.2">
      <c r="A612" s="17">
        <v>45411</v>
      </c>
      <c r="B612" s="18"/>
      <c r="C612" s="19" t="s">
        <v>66</v>
      </c>
      <c r="D612" s="30" t="s">
        <v>355</v>
      </c>
      <c r="E612" s="18" t="s">
        <v>14</v>
      </c>
      <c r="F612" s="31"/>
      <c r="G612" s="31">
        <v>635.29</v>
      </c>
      <c r="H612" s="37">
        <f t="shared" ca="1" si="7"/>
        <v>690.52200000000391</v>
      </c>
    </row>
    <row r="613" spans="1:8" x14ac:dyDescent="0.2">
      <c r="A613" s="17">
        <v>45414</v>
      </c>
      <c r="B613" s="18"/>
      <c r="C613" s="19" t="s">
        <v>356</v>
      </c>
      <c r="D613" s="30" t="s">
        <v>357</v>
      </c>
      <c r="E613" s="18" t="s">
        <v>14</v>
      </c>
      <c r="F613" s="31">
        <v>58.78</v>
      </c>
      <c r="G613" s="31"/>
      <c r="H613" s="37">
        <f t="shared" ca="1" si="7"/>
        <v>631.74200000000394</v>
      </c>
    </row>
    <row r="614" spans="1:8" x14ac:dyDescent="0.2">
      <c r="A614" s="17">
        <v>45415</v>
      </c>
      <c r="B614" s="18"/>
      <c r="C614" s="19" t="s">
        <v>33</v>
      </c>
      <c r="D614" s="30" t="s">
        <v>40</v>
      </c>
      <c r="E614" s="18" t="s">
        <v>14</v>
      </c>
      <c r="F614" s="31"/>
      <c r="G614" s="31">
        <v>3492.75</v>
      </c>
      <c r="H614" s="37">
        <f t="shared" ca="1" si="7"/>
        <v>4124.4920000000038</v>
      </c>
    </row>
    <row r="615" spans="1:8" x14ac:dyDescent="0.2">
      <c r="A615" s="17">
        <v>45415</v>
      </c>
      <c r="B615" s="18"/>
      <c r="C615" s="19" t="s">
        <v>28</v>
      </c>
      <c r="D615" s="30" t="s">
        <v>55</v>
      </c>
      <c r="E615" s="18" t="s">
        <v>14</v>
      </c>
      <c r="F615" s="31">
        <v>1209.9000000000001</v>
      </c>
      <c r="G615" s="31"/>
      <c r="H615" s="37">
        <f t="shared" ca="1" si="7"/>
        <v>2914.5920000000037</v>
      </c>
    </row>
    <row r="616" spans="1:8" x14ac:dyDescent="0.2">
      <c r="A616" s="17">
        <v>45415</v>
      </c>
      <c r="B616" s="18"/>
      <c r="C616" s="19" t="s">
        <v>242</v>
      </c>
      <c r="D616" s="30" t="s">
        <v>284</v>
      </c>
      <c r="E616" s="18" t="s">
        <v>14</v>
      </c>
      <c r="F616" s="31">
        <v>78</v>
      </c>
      <c r="G616" s="31"/>
      <c r="H616" s="37">
        <f t="shared" ca="1" si="7"/>
        <v>2836.5920000000037</v>
      </c>
    </row>
    <row r="617" spans="1:8" x14ac:dyDescent="0.2">
      <c r="A617" s="17">
        <v>45415</v>
      </c>
      <c r="B617" s="18"/>
      <c r="C617" s="19" t="s">
        <v>271</v>
      </c>
      <c r="D617" s="30" t="s">
        <v>47</v>
      </c>
      <c r="E617" s="18" t="s">
        <v>14</v>
      </c>
      <c r="F617" s="31">
        <v>2771.55</v>
      </c>
      <c r="G617" s="31"/>
      <c r="H617" s="37">
        <f t="shared" ca="1" si="7"/>
        <v>65.042000000003554</v>
      </c>
    </row>
    <row r="618" spans="1:8" x14ac:dyDescent="0.2">
      <c r="A618" s="17">
        <v>45418</v>
      </c>
      <c r="B618" s="18"/>
      <c r="C618" s="19" t="s">
        <v>33</v>
      </c>
      <c r="D618" s="30" t="s">
        <v>66</v>
      </c>
      <c r="E618" s="18" t="s">
        <v>14</v>
      </c>
      <c r="F618" s="31"/>
      <c r="G618" s="31">
        <v>150</v>
      </c>
      <c r="H618" s="37">
        <f t="shared" ca="1" si="7"/>
        <v>215.04200000000355</v>
      </c>
    </row>
    <row r="619" spans="1:8" x14ac:dyDescent="0.2">
      <c r="A619" s="17">
        <v>45421</v>
      </c>
      <c r="B619" s="18"/>
      <c r="C619" s="19" t="s">
        <v>356</v>
      </c>
      <c r="D619" s="30" t="s">
        <v>47</v>
      </c>
      <c r="E619" s="18" t="s">
        <v>14</v>
      </c>
      <c r="F619" s="31">
        <v>3.18</v>
      </c>
      <c r="G619" s="31"/>
      <c r="H619" s="37">
        <f t="shared" ca="1" si="7"/>
        <v>211.86200000000355</v>
      </c>
    </row>
    <row r="620" spans="1:8" x14ac:dyDescent="0.2">
      <c r="A620" s="17">
        <v>45422</v>
      </c>
      <c r="B620" s="18"/>
      <c r="C620" s="19" t="s">
        <v>250</v>
      </c>
      <c r="D620" s="30" t="s">
        <v>32</v>
      </c>
      <c r="E620" s="18" t="s">
        <v>14</v>
      </c>
      <c r="F620" s="31">
        <v>243</v>
      </c>
      <c r="G620" s="31"/>
      <c r="H620" s="37">
        <f t="shared" ca="1" si="7"/>
        <v>-31.137999999996453</v>
      </c>
    </row>
    <row r="621" spans="1:8" x14ac:dyDescent="0.2">
      <c r="A621" s="17">
        <v>45429</v>
      </c>
      <c r="B621" s="18"/>
      <c r="C621" s="19" t="s">
        <v>33</v>
      </c>
      <c r="D621" s="30" t="s">
        <v>40</v>
      </c>
      <c r="E621" s="18" t="s">
        <v>14</v>
      </c>
      <c r="F621" s="31"/>
      <c r="G621" s="31">
        <v>3492.76</v>
      </c>
      <c r="H621" s="37">
        <f t="shared" ca="1" si="7"/>
        <v>3461.6220000000039</v>
      </c>
    </row>
    <row r="622" spans="1:8" x14ac:dyDescent="0.2">
      <c r="A622" s="17">
        <v>45429</v>
      </c>
      <c r="B622" s="18"/>
      <c r="C622" s="19" t="s">
        <v>33</v>
      </c>
      <c r="D622" s="30" t="s">
        <v>56</v>
      </c>
      <c r="E622" s="18" t="s">
        <v>14</v>
      </c>
      <c r="F622" s="31">
        <v>75.599999999999994</v>
      </c>
      <c r="G622" s="31"/>
      <c r="H622" s="37">
        <f t="shared" ca="1" si="7"/>
        <v>3386.022000000004</v>
      </c>
    </row>
    <row r="623" spans="1:8" x14ac:dyDescent="0.2">
      <c r="A623" s="17">
        <v>45429</v>
      </c>
      <c r="B623" s="18"/>
      <c r="C623" s="19" t="s">
        <v>36</v>
      </c>
      <c r="D623" s="30" t="s">
        <v>323</v>
      </c>
      <c r="E623" s="18" t="s">
        <v>14</v>
      </c>
      <c r="F623" s="31">
        <v>395.76</v>
      </c>
      <c r="G623" s="31"/>
      <c r="H623" s="37">
        <f t="shared" ca="1" si="7"/>
        <v>2990.2620000000043</v>
      </c>
    </row>
    <row r="624" spans="1:8" x14ac:dyDescent="0.2">
      <c r="A624" s="17">
        <v>45429</v>
      </c>
      <c r="B624" s="18"/>
      <c r="C624" s="19" t="s">
        <v>46</v>
      </c>
      <c r="D624" s="30" t="s">
        <v>47</v>
      </c>
      <c r="E624" s="18" t="s">
        <v>14</v>
      </c>
      <c r="F624" s="31">
        <v>363.52</v>
      </c>
      <c r="G624" s="31"/>
      <c r="H624" s="37">
        <f t="shared" ca="1" si="7"/>
        <v>2626.7420000000043</v>
      </c>
    </row>
    <row r="625" spans="1:8" x14ac:dyDescent="0.2">
      <c r="A625" s="17">
        <v>45429</v>
      </c>
      <c r="B625" s="18"/>
      <c r="C625" s="19" t="s">
        <v>244</v>
      </c>
      <c r="D625" s="30" t="s">
        <v>47</v>
      </c>
      <c r="E625" s="18" t="s">
        <v>14</v>
      </c>
      <c r="F625" s="31">
        <v>100</v>
      </c>
      <c r="G625" s="31"/>
      <c r="H625" s="37">
        <f t="shared" ca="1" si="7"/>
        <v>2526.7420000000043</v>
      </c>
    </row>
    <row r="626" spans="1:8" x14ac:dyDescent="0.2">
      <c r="A626" s="17">
        <v>45429</v>
      </c>
      <c r="B626" s="18"/>
      <c r="C626" s="19" t="s">
        <v>36</v>
      </c>
      <c r="D626" s="30" t="s">
        <v>278</v>
      </c>
      <c r="E626" s="18" t="s">
        <v>14</v>
      </c>
      <c r="F626" s="31">
        <v>397.43</v>
      </c>
      <c r="G626" s="31"/>
      <c r="H626" s="37">
        <f t="shared" ca="1" si="7"/>
        <v>2129.3120000000044</v>
      </c>
    </row>
    <row r="627" spans="1:8" x14ac:dyDescent="0.2">
      <c r="A627" s="17">
        <v>45429</v>
      </c>
      <c r="B627" s="18"/>
      <c r="C627" s="19" t="s">
        <v>58</v>
      </c>
      <c r="D627" s="30" t="s">
        <v>30</v>
      </c>
      <c r="E627" s="18" t="s">
        <v>14</v>
      </c>
      <c r="F627" s="31">
        <v>119.04</v>
      </c>
      <c r="G627" s="31"/>
      <c r="H627" s="37">
        <f t="shared" ca="1" si="7"/>
        <v>2010.2720000000045</v>
      </c>
    </row>
    <row r="628" spans="1:8" x14ac:dyDescent="0.2">
      <c r="A628" s="17">
        <v>45436</v>
      </c>
      <c r="B628" s="18"/>
      <c r="C628" s="19" t="s">
        <v>259</v>
      </c>
      <c r="D628" s="30" t="s">
        <v>38</v>
      </c>
      <c r="E628" s="18" t="s">
        <v>14</v>
      </c>
      <c r="F628" s="31">
        <v>79.989999999999995</v>
      </c>
      <c r="G628" s="31"/>
      <c r="H628" s="37">
        <f t="shared" ca="1" si="7"/>
        <v>1930.2820000000045</v>
      </c>
    </row>
    <row r="629" spans="1:8" x14ac:dyDescent="0.2">
      <c r="A629" s="17">
        <v>45436</v>
      </c>
      <c r="B629" s="18"/>
      <c r="C629" s="19" t="s">
        <v>298</v>
      </c>
      <c r="D629" s="30"/>
      <c r="E629" s="18" t="s">
        <v>14</v>
      </c>
      <c r="F629" s="31">
        <v>243</v>
      </c>
      <c r="G629" s="31"/>
      <c r="H629" s="37">
        <f t="shared" ca="1" si="7"/>
        <v>1687.2820000000045</v>
      </c>
    </row>
    <row r="630" spans="1:8" x14ac:dyDescent="0.2">
      <c r="A630" s="17">
        <v>45443</v>
      </c>
      <c r="B630" s="18"/>
      <c r="C630" s="19" t="s">
        <v>33</v>
      </c>
      <c r="D630" s="30" t="s">
        <v>40</v>
      </c>
      <c r="E630" s="18" t="s">
        <v>14</v>
      </c>
      <c r="F630" s="31"/>
      <c r="G630" s="31">
        <v>3580.85</v>
      </c>
      <c r="H630" s="37">
        <f t="shared" ca="1" si="7"/>
        <v>5268.1320000000042</v>
      </c>
    </row>
    <row r="631" spans="1:8" x14ac:dyDescent="0.2">
      <c r="A631" s="17">
        <v>45436</v>
      </c>
      <c r="B631" s="18"/>
      <c r="C631" s="19" t="s">
        <v>33</v>
      </c>
      <c r="D631" s="30" t="s">
        <v>358</v>
      </c>
      <c r="E631" s="18" t="s">
        <v>35</v>
      </c>
      <c r="F631" s="31">
        <v>50</v>
      </c>
      <c r="G631" s="31"/>
      <c r="H631" s="37">
        <f t="shared" ca="1" si="7"/>
        <v>5218.1320000000042</v>
      </c>
    </row>
    <row r="632" spans="1:8" x14ac:dyDescent="0.2">
      <c r="A632" s="17">
        <v>45443</v>
      </c>
      <c r="B632" s="18"/>
      <c r="C632" s="19" t="s">
        <v>29</v>
      </c>
      <c r="D632" s="30" t="s">
        <v>45</v>
      </c>
      <c r="E632" s="18" t="s">
        <v>14</v>
      </c>
      <c r="F632" s="31">
        <v>231.99</v>
      </c>
      <c r="G632" s="31"/>
      <c r="H632" s="37">
        <f t="shared" ca="1" si="7"/>
        <v>4986.1420000000044</v>
      </c>
    </row>
    <row r="633" spans="1:8" x14ac:dyDescent="0.2">
      <c r="A633" s="17">
        <v>45443</v>
      </c>
      <c r="B633" s="18"/>
      <c r="C633" s="19" t="s">
        <v>66</v>
      </c>
      <c r="D633" s="30" t="s">
        <v>318</v>
      </c>
      <c r="E633" s="18" t="s">
        <v>14</v>
      </c>
      <c r="F633" s="31"/>
      <c r="G633" s="31">
        <v>118.16</v>
      </c>
      <c r="H633" s="37">
        <f t="shared" ca="1" si="7"/>
        <v>5104.3020000000042</v>
      </c>
    </row>
    <row r="634" spans="1:8" x14ac:dyDescent="0.2">
      <c r="A634" s="17">
        <v>45443</v>
      </c>
      <c r="B634" s="18"/>
      <c r="C634" s="19" t="s">
        <v>28</v>
      </c>
      <c r="D634" s="30" t="s">
        <v>55</v>
      </c>
      <c r="E634" s="18" t="s">
        <v>14</v>
      </c>
      <c r="F634" s="31">
        <v>1209.9000000000001</v>
      </c>
      <c r="G634" s="31"/>
      <c r="H634" s="37">
        <f t="shared" ca="1" si="7"/>
        <v>3894.4020000000041</v>
      </c>
    </row>
    <row r="635" spans="1:8" x14ac:dyDescent="0.2">
      <c r="A635" s="17">
        <v>45443</v>
      </c>
      <c r="B635" s="18"/>
      <c r="C635" s="19" t="s">
        <v>359</v>
      </c>
      <c r="D635" s="30" t="s">
        <v>47</v>
      </c>
      <c r="E635" s="18" t="s">
        <v>14</v>
      </c>
      <c r="F635" s="31">
        <v>6062.74</v>
      </c>
      <c r="G635" s="31"/>
      <c r="H635" s="37">
        <f t="shared" ca="1" si="7"/>
        <v>-2168.3379999999956</v>
      </c>
    </row>
    <row r="636" spans="1:8" x14ac:dyDescent="0.2">
      <c r="A636" s="17">
        <v>45442</v>
      </c>
      <c r="B636" s="18"/>
      <c r="C636" s="19" t="s">
        <v>52</v>
      </c>
      <c r="D636" s="30" t="s">
        <v>52</v>
      </c>
      <c r="E636" s="18" t="s">
        <v>14</v>
      </c>
      <c r="F636" s="31"/>
      <c r="G636" s="31">
        <v>2350.21</v>
      </c>
      <c r="H636" s="37">
        <f t="shared" ca="1" si="7"/>
        <v>181.87200000000439</v>
      </c>
    </row>
    <row r="637" spans="1:8" x14ac:dyDescent="0.2">
      <c r="A637" s="17">
        <v>45446</v>
      </c>
      <c r="B637" s="18"/>
      <c r="C637" s="19" t="s">
        <v>250</v>
      </c>
      <c r="D637" s="30" t="s">
        <v>32</v>
      </c>
      <c r="E637" s="18" t="s">
        <v>14</v>
      </c>
      <c r="F637" s="31">
        <v>231.65</v>
      </c>
      <c r="G637" s="31"/>
      <c r="H637" s="37">
        <f t="shared" ca="1" si="7"/>
        <v>-49.777999999995615</v>
      </c>
    </row>
    <row r="638" spans="1:8" x14ac:dyDescent="0.2">
      <c r="A638" s="17">
        <v>45443</v>
      </c>
      <c r="B638" s="18"/>
      <c r="C638" s="19" t="s">
        <v>33</v>
      </c>
      <c r="D638" s="30" t="s">
        <v>245</v>
      </c>
      <c r="E638" s="18" t="s">
        <v>14</v>
      </c>
      <c r="F638" s="31"/>
      <c r="G638" s="31">
        <v>6</v>
      </c>
      <c r="H638" s="37">
        <f t="shared" ca="1" si="7"/>
        <v>-43.777999999995615</v>
      </c>
    </row>
    <row r="639" spans="1:8" x14ac:dyDescent="0.2">
      <c r="A639" s="17">
        <v>45457</v>
      </c>
      <c r="B639" s="18"/>
      <c r="C639" s="19" t="s">
        <v>33</v>
      </c>
      <c r="D639" s="30" t="s">
        <v>40</v>
      </c>
      <c r="E639" s="18" t="s">
        <v>14</v>
      </c>
      <c r="F639" s="31"/>
      <c r="G639" s="31">
        <v>3871.39</v>
      </c>
      <c r="H639" s="37">
        <f t="shared" ca="1" si="7"/>
        <v>3827.6120000000042</v>
      </c>
    </row>
    <row r="640" spans="1:8" x14ac:dyDescent="0.2">
      <c r="A640" s="17">
        <v>45457</v>
      </c>
      <c r="B640" s="18"/>
      <c r="C640" s="19" t="s">
        <v>242</v>
      </c>
      <c r="D640" s="30" t="s">
        <v>284</v>
      </c>
      <c r="E640" s="18" t="s">
        <v>14</v>
      </c>
      <c r="F640" s="31">
        <v>76</v>
      </c>
      <c r="G640" s="31"/>
      <c r="H640" s="37">
        <f t="shared" ca="1" si="7"/>
        <v>3751.6120000000042</v>
      </c>
    </row>
    <row r="641" spans="1:8" x14ac:dyDescent="0.2">
      <c r="A641" s="17">
        <v>45457</v>
      </c>
      <c r="B641" s="18"/>
      <c r="C641" s="19" t="s">
        <v>356</v>
      </c>
      <c r="D641" s="30" t="s">
        <v>47</v>
      </c>
      <c r="E641" s="18" t="s">
        <v>14</v>
      </c>
      <c r="F641" s="31">
        <v>10.66</v>
      </c>
      <c r="G641" s="31"/>
      <c r="H641" s="37">
        <f t="shared" ca="1" si="7"/>
        <v>3740.9520000000043</v>
      </c>
    </row>
    <row r="642" spans="1:8" x14ac:dyDescent="0.2">
      <c r="A642" s="17">
        <v>45456</v>
      </c>
      <c r="B642" s="18"/>
      <c r="C642" s="19" t="s">
        <v>66</v>
      </c>
      <c r="D642" s="30"/>
      <c r="E642" s="18" t="s">
        <v>14</v>
      </c>
      <c r="F642" s="31">
        <v>44.25</v>
      </c>
      <c r="G642" s="31"/>
      <c r="H642" s="37">
        <f t="shared" ca="1" si="7"/>
        <v>3696.7020000000043</v>
      </c>
    </row>
    <row r="643" spans="1:8" x14ac:dyDescent="0.2">
      <c r="A643" s="17">
        <v>45456</v>
      </c>
      <c r="B643" s="18"/>
      <c r="C643" s="19" t="s">
        <v>34</v>
      </c>
      <c r="D643" s="30" t="s">
        <v>360</v>
      </c>
      <c r="E643" s="18" t="s">
        <v>14</v>
      </c>
      <c r="F643" s="31">
        <v>40</v>
      </c>
      <c r="G643" s="31"/>
      <c r="H643" s="37">
        <f t="shared" ca="1" si="7"/>
        <v>3656.7020000000043</v>
      </c>
    </row>
    <row r="644" spans="1:8" x14ac:dyDescent="0.2">
      <c r="A644" s="17">
        <v>45457</v>
      </c>
      <c r="B644" s="18"/>
      <c r="C644" s="19" t="s">
        <v>46</v>
      </c>
      <c r="D644" s="30" t="s">
        <v>47</v>
      </c>
      <c r="E644" s="18" t="s">
        <v>14</v>
      </c>
      <c r="F644" s="31">
        <v>176.95</v>
      </c>
      <c r="G644" s="31"/>
      <c r="H644" s="37">
        <f t="shared" ca="1" si="7"/>
        <v>3479.7520000000045</v>
      </c>
    </row>
    <row r="645" spans="1:8" x14ac:dyDescent="0.2">
      <c r="A645" s="17">
        <v>45457</v>
      </c>
      <c r="B645" s="18"/>
      <c r="C645" s="19" t="s">
        <v>244</v>
      </c>
      <c r="D645" s="30" t="s">
        <v>47</v>
      </c>
      <c r="E645" s="18" t="s">
        <v>14</v>
      </c>
      <c r="F645" s="31">
        <v>100</v>
      </c>
      <c r="G645" s="31"/>
      <c r="H645" s="37">
        <f t="shared" ca="1" si="7"/>
        <v>3379.7520000000045</v>
      </c>
    </row>
    <row r="646" spans="1:8" x14ac:dyDescent="0.2">
      <c r="A646" s="17">
        <v>45457</v>
      </c>
      <c r="B646" s="18"/>
      <c r="C646" s="19" t="s">
        <v>36</v>
      </c>
      <c r="D646" s="30" t="s">
        <v>323</v>
      </c>
      <c r="E646" s="18" t="s">
        <v>14</v>
      </c>
      <c r="F646" s="31">
        <v>395.76</v>
      </c>
      <c r="G646" s="31"/>
      <c r="H646" s="37">
        <f t="shared" ca="1" si="7"/>
        <v>2983.9920000000047</v>
      </c>
    </row>
    <row r="647" spans="1:8" x14ac:dyDescent="0.2">
      <c r="A647" s="17">
        <v>45457</v>
      </c>
      <c r="B647" s="18"/>
      <c r="C647" s="19" t="s">
        <v>36</v>
      </c>
      <c r="D647" s="30" t="s">
        <v>278</v>
      </c>
      <c r="E647" s="18" t="s">
        <v>14</v>
      </c>
      <c r="F647" s="31">
        <v>397.43</v>
      </c>
      <c r="G647" s="31"/>
      <c r="H647" s="37">
        <f t="shared" ca="1" si="7"/>
        <v>2586.5620000000049</v>
      </c>
    </row>
    <row r="648" spans="1:8" x14ac:dyDescent="0.2">
      <c r="A648" s="17">
        <v>45462</v>
      </c>
      <c r="B648" s="18"/>
      <c r="C648" s="19" t="s">
        <v>250</v>
      </c>
      <c r="D648" s="30" t="s">
        <v>32</v>
      </c>
      <c r="E648" s="18"/>
      <c r="F648" s="31">
        <v>89.67</v>
      </c>
      <c r="G648" s="31"/>
      <c r="H648" s="37">
        <f t="shared" ca="1" si="7"/>
        <v>2496.8920000000048</v>
      </c>
    </row>
    <row r="649" spans="1:8" x14ac:dyDescent="0.2">
      <c r="A649" s="17">
        <v>45471</v>
      </c>
      <c r="B649" s="18"/>
      <c r="C649" s="19" t="s">
        <v>33</v>
      </c>
      <c r="D649" s="30" t="s">
        <v>40</v>
      </c>
      <c r="E649" s="18" t="s">
        <v>14</v>
      </c>
      <c r="F649" s="31"/>
      <c r="G649" s="31">
        <v>3580.86</v>
      </c>
      <c r="H649" s="37">
        <f t="shared" ca="1" si="7"/>
        <v>6077.752000000005</v>
      </c>
    </row>
    <row r="650" spans="1:8" x14ac:dyDescent="0.2">
      <c r="A650" s="17">
        <v>45471</v>
      </c>
      <c r="B650" s="18"/>
      <c r="C650" s="19" t="s">
        <v>27</v>
      </c>
      <c r="D650" s="30" t="s">
        <v>30</v>
      </c>
      <c r="E650" s="18" t="s">
        <v>14</v>
      </c>
      <c r="F650" s="31">
        <v>167.89</v>
      </c>
      <c r="G650" s="31"/>
      <c r="H650" s="37">
        <f t="shared" ca="1" si="7"/>
        <v>5909.8620000000046</v>
      </c>
    </row>
    <row r="651" spans="1:8" x14ac:dyDescent="0.2">
      <c r="A651" s="17">
        <v>45471</v>
      </c>
      <c r="B651" s="18"/>
      <c r="C651" s="19" t="s">
        <v>361</v>
      </c>
      <c r="D651" s="30" t="s">
        <v>38</v>
      </c>
      <c r="E651" s="18" t="s">
        <v>14</v>
      </c>
      <c r="F651" s="31">
        <v>79.989999999999995</v>
      </c>
      <c r="G651" s="31"/>
      <c r="H651" s="37">
        <f t="shared" ca="1" si="7"/>
        <v>5829.8720000000048</v>
      </c>
    </row>
    <row r="652" spans="1:8" x14ac:dyDescent="0.2">
      <c r="A652" s="17">
        <v>45471</v>
      </c>
      <c r="B652" s="18"/>
      <c r="C652" s="19" t="s">
        <v>29</v>
      </c>
      <c r="D652" s="30" t="s">
        <v>45</v>
      </c>
      <c r="E652" s="18" t="s">
        <v>14</v>
      </c>
      <c r="F652" s="31">
        <v>231.39</v>
      </c>
      <c r="G652" s="31"/>
      <c r="H652" s="37">
        <f t="shared" ca="1" si="7"/>
        <v>5598.4820000000045</v>
      </c>
    </row>
    <row r="653" spans="1:8" x14ac:dyDescent="0.2">
      <c r="A653" s="17">
        <v>45471</v>
      </c>
      <c r="B653" s="18"/>
      <c r="C653" s="19" t="s">
        <v>28</v>
      </c>
      <c r="D653" s="30" t="s">
        <v>55</v>
      </c>
      <c r="E653" s="18" t="s">
        <v>14</v>
      </c>
      <c r="F653" s="31">
        <v>1209.9000000000001</v>
      </c>
      <c r="G653" s="31"/>
      <c r="H653" s="37">
        <f t="shared" ca="1" si="7"/>
        <v>4388.582000000004</v>
      </c>
    </row>
    <row r="654" spans="1:8" x14ac:dyDescent="0.2">
      <c r="A654" s="17">
        <v>45471</v>
      </c>
      <c r="B654" s="18"/>
      <c r="C654" s="19" t="s">
        <v>362</v>
      </c>
      <c r="D654" s="30" t="s">
        <v>47</v>
      </c>
      <c r="E654" s="18" t="s">
        <v>14</v>
      </c>
      <c r="F654" s="31">
        <v>4447.1099999999997</v>
      </c>
      <c r="G654" s="31"/>
      <c r="H654" s="37">
        <f t="shared" ca="1" si="7"/>
        <v>-58.5279999999957</v>
      </c>
    </row>
    <row r="655" spans="1:8" x14ac:dyDescent="0.2">
      <c r="A655" s="17">
        <v>45471</v>
      </c>
      <c r="B655" s="18"/>
      <c r="C655" s="19" t="s">
        <v>52</v>
      </c>
      <c r="D655" s="30" t="s">
        <v>363</v>
      </c>
      <c r="E655" s="18" t="s">
        <v>14</v>
      </c>
      <c r="F655" s="31"/>
      <c r="G655" s="31">
        <v>400</v>
      </c>
      <c r="H655" s="37">
        <f t="shared" ca="1" si="7"/>
        <v>341.4720000000043</v>
      </c>
    </row>
    <row r="656" spans="1:8" x14ac:dyDescent="0.2">
      <c r="A656" s="17">
        <v>45472</v>
      </c>
      <c r="B656" s="18"/>
      <c r="C656" s="19" t="s">
        <v>33</v>
      </c>
      <c r="D656" s="30" t="s">
        <v>277</v>
      </c>
      <c r="E656" s="18" t="s">
        <v>14</v>
      </c>
      <c r="F656" s="31"/>
      <c r="G656" s="31">
        <v>27</v>
      </c>
      <c r="H656" s="37">
        <f t="shared" ca="1" si="7"/>
        <v>368.4720000000043</v>
      </c>
    </row>
    <row r="657" spans="1:8" x14ac:dyDescent="0.2">
      <c r="A657" s="17">
        <v>45472</v>
      </c>
      <c r="B657" s="18"/>
      <c r="C657" s="19" t="s">
        <v>66</v>
      </c>
      <c r="D657" s="30" t="s">
        <v>318</v>
      </c>
      <c r="E657" s="18" t="s">
        <v>14</v>
      </c>
      <c r="F657" s="31"/>
      <c r="G657" s="31">
        <v>59.08</v>
      </c>
      <c r="H657" s="37">
        <f t="shared" ca="1" si="7"/>
        <v>427.55200000000428</v>
      </c>
    </row>
    <row r="658" spans="1:8" x14ac:dyDescent="0.2">
      <c r="A658" s="17">
        <v>45475</v>
      </c>
      <c r="B658" s="18"/>
      <c r="C658" s="19" t="s">
        <v>250</v>
      </c>
      <c r="D658" s="30" t="s">
        <v>32</v>
      </c>
      <c r="E658" s="18" t="s">
        <v>14</v>
      </c>
      <c r="F658" s="31">
        <v>328.04</v>
      </c>
      <c r="G658" s="31"/>
      <c r="H658" s="37">
        <f t="shared" ca="1" si="7"/>
        <v>99.512000000004264</v>
      </c>
    </row>
    <row r="659" spans="1:8" x14ac:dyDescent="0.2">
      <c r="A659" s="17">
        <v>45475</v>
      </c>
      <c r="B659" s="18"/>
      <c r="C659" s="19" t="s">
        <v>66</v>
      </c>
      <c r="D659" s="30" t="s">
        <v>364</v>
      </c>
      <c r="E659" s="18" t="s">
        <v>14</v>
      </c>
      <c r="F659" s="31">
        <v>50</v>
      </c>
      <c r="G659" s="31"/>
      <c r="H659" s="37">
        <f t="shared" ca="1" si="7"/>
        <v>49.512000000004264</v>
      </c>
    </row>
    <row r="660" spans="1:8" x14ac:dyDescent="0.2">
      <c r="A660" s="17">
        <v>45482</v>
      </c>
      <c r="B660" s="18"/>
      <c r="C660" s="19" t="s">
        <v>356</v>
      </c>
      <c r="D660" s="30" t="s">
        <v>47</v>
      </c>
      <c r="E660" s="18" t="s">
        <v>14</v>
      </c>
      <c r="F660" s="31">
        <v>10.66</v>
      </c>
      <c r="G660" s="31"/>
      <c r="H660" s="37">
        <f t="shared" ca="1" si="7"/>
        <v>38.852000000004267</v>
      </c>
    </row>
    <row r="661" spans="1:8" x14ac:dyDescent="0.2">
      <c r="A661" s="17">
        <v>45485</v>
      </c>
      <c r="B661" s="18"/>
      <c r="C661" s="19" t="s">
        <v>33</v>
      </c>
      <c r="D661" s="30" t="s">
        <v>40</v>
      </c>
      <c r="E661" s="18" t="s">
        <v>14</v>
      </c>
      <c r="F661" s="31"/>
      <c r="G661" s="31">
        <v>3588.84</v>
      </c>
      <c r="H661" s="37">
        <f t="shared" ca="1" si="7"/>
        <v>3627.6920000000046</v>
      </c>
    </row>
    <row r="662" spans="1:8" x14ac:dyDescent="0.2">
      <c r="A662" s="17">
        <v>45481</v>
      </c>
      <c r="B662" s="18"/>
      <c r="C662" s="19" t="s">
        <v>66</v>
      </c>
      <c r="D662" s="30" t="s">
        <v>368</v>
      </c>
      <c r="E662" s="18" t="s">
        <v>14</v>
      </c>
      <c r="F662" s="31"/>
      <c r="G662" s="31">
        <v>50</v>
      </c>
      <c r="H662" s="37">
        <f t="shared" ca="1" si="7"/>
        <v>3677.6920000000046</v>
      </c>
    </row>
    <row r="663" spans="1:8" x14ac:dyDescent="0.2">
      <c r="A663" s="17">
        <v>45482</v>
      </c>
      <c r="B663" s="18"/>
      <c r="C663" s="19" t="s">
        <v>365</v>
      </c>
      <c r="D663" s="30" t="s">
        <v>366</v>
      </c>
      <c r="E663" s="18" t="s">
        <v>14</v>
      </c>
      <c r="F663" s="31">
        <v>50</v>
      </c>
      <c r="G663" s="31"/>
      <c r="H663" s="37">
        <f t="shared" ca="1" si="7"/>
        <v>3627.6920000000046</v>
      </c>
    </row>
    <row r="664" spans="1:8" x14ac:dyDescent="0.2">
      <c r="A664" s="17">
        <v>45485</v>
      </c>
      <c r="B664" s="18"/>
      <c r="C664" s="19" t="s">
        <v>242</v>
      </c>
      <c r="D664" s="30" t="s">
        <v>284</v>
      </c>
      <c r="E664" s="18" t="s">
        <v>14</v>
      </c>
      <c r="F664" s="31">
        <v>66.66</v>
      </c>
      <c r="G664" s="31"/>
      <c r="H664" s="37">
        <f t="shared" ca="1" si="7"/>
        <v>3561.0320000000047</v>
      </c>
    </row>
    <row r="665" spans="1:8" x14ac:dyDescent="0.2">
      <c r="A665" s="17">
        <v>45485</v>
      </c>
      <c r="B665" s="18"/>
      <c r="C665" s="19" t="s">
        <v>46</v>
      </c>
      <c r="D665" s="30" t="s">
        <v>47</v>
      </c>
      <c r="E665" s="18" t="s">
        <v>14</v>
      </c>
      <c r="F665" s="31">
        <v>182.1</v>
      </c>
      <c r="G665" s="31"/>
      <c r="H665" s="37">
        <f t="shared" ca="1" si="7"/>
        <v>3378.9320000000048</v>
      </c>
    </row>
    <row r="666" spans="1:8" x14ac:dyDescent="0.2">
      <c r="A666" s="17">
        <v>45485</v>
      </c>
      <c r="B666" s="18"/>
      <c r="C666" s="19" t="s">
        <v>244</v>
      </c>
      <c r="D666" s="30" t="s">
        <v>47</v>
      </c>
      <c r="E666" s="18" t="s">
        <v>14</v>
      </c>
      <c r="F666" s="31">
        <v>100</v>
      </c>
      <c r="G666" s="31"/>
      <c r="H666" s="37">
        <f t="shared" ca="1" si="7"/>
        <v>3278.9320000000048</v>
      </c>
    </row>
    <row r="667" spans="1:8" x14ac:dyDescent="0.2">
      <c r="A667" s="17">
        <v>45485</v>
      </c>
      <c r="B667" s="18"/>
      <c r="C667" s="19" t="s">
        <v>36</v>
      </c>
      <c r="D667" s="30" t="s">
        <v>323</v>
      </c>
      <c r="E667" s="18" t="s">
        <v>14</v>
      </c>
      <c r="F667" s="31">
        <v>395.76</v>
      </c>
      <c r="G667" s="31"/>
      <c r="H667" s="37">
        <f t="shared" ca="1" si="7"/>
        <v>2883.172000000005</v>
      </c>
    </row>
    <row r="668" spans="1:8" x14ac:dyDescent="0.2">
      <c r="A668" s="17">
        <v>45485</v>
      </c>
      <c r="B668" s="18"/>
      <c r="C668" s="19" t="s">
        <v>250</v>
      </c>
      <c r="D668" s="30" t="s">
        <v>32</v>
      </c>
      <c r="E668" s="18" t="s">
        <v>14</v>
      </c>
      <c r="F668" s="31">
        <v>251.08</v>
      </c>
      <c r="G668" s="31"/>
      <c r="H668" s="37">
        <f t="shared" ca="1" si="7"/>
        <v>2632.0920000000051</v>
      </c>
    </row>
    <row r="669" spans="1:8" x14ac:dyDescent="0.2">
      <c r="A669" s="17">
        <v>45492</v>
      </c>
      <c r="B669" s="18"/>
      <c r="C669" s="19" t="s">
        <v>66</v>
      </c>
      <c r="D669" s="30" t="s">
        <v>367</v>
      </c>
      <c r="E669" s="18" t="s">
        <v>14</v>
      </c>
      <c r="F669" s="31"/>
      <c r="G669" s="31">
        <v>302</v>
      </c>
      <c r="H669" s="37">
        <f t="shared" ca="1" si="7"/>
        <v>2934.0920000000051</v>
      </c>
    </row>
    <row r="670" spans="1:8" x14ac:dyDescent="0.2">
      <c r="A670" s="17">
        <v>45498</v>
      </c>
      <c r="B670" s="18"/>
      <c r="C670" s="19" t="s">
        <v>36</v>
      </c>
      <c r="D670" s="30" t="s">
        <v>278</v>
      </c>
      <c r="E670" s="18" t="s">
        <v>14</v>
      </c>
      <c r="F670" s="31">
        <v>397.43</v>
      </c>
      <c r="G670" s="31"/>
      <c r="H670" s="37">
        <f t="shared" ca="1" si="7"/>
        <v>2536.6620000000053</v>
      </c>
    </row>
    <row r="671" spans="1:8" x14ac:dyDescent="0.2">
      <c r="A671" s="17">
        <v>45499</v>
      </c>
      <c r="B671" s="18"/>
      <c r="C671" s="19" t="s">
        <v>33</v>
      </c>
      <c r="D671" s="30" t="s">
        <v>40</v>
      </c>
      <c r="E671" s="18" t="s">
        <v>14</v>
      </c>
      <c r="F671" s="31"/>
      <c r="G671" s="31">
        <v>3588.83</v>
      </c>
      <c r="H671" s="37">
        <f t="shared" ca="1" si="7"/>
        <v>6125.4920000000056</v>
      </c>
    </row>
    <row r="672" spans="1:8" x14ac:dyDescent="0.2">
      <c r="A672" s="17">
        <v>45499</v>
      </c>
      <c r="B672" s="18"/>
      <c r="C672" s="19" t="s">
        <v>27</v>
      </c>
      <c r="D672" s="30" t="s">
        <v>30</v>
      </c>
      <c r="E672" s="18" t="s">
        <v>14</v>
      </c>
      <c r="F672" s="31">
        <v>224.55</v>
      </c>
      <c r="G672" s="31"/>
      <c r="H672" s="37">
        <f t="shared" ca="1" si="7"/>
        <v>5900.9420000000055</v>
      </c>
    </row>
    <row r="673" spans="1:8" x14ac:dyDescent="0.2">
      <c r="A673" s="17">
        <v>45499</v>
      </c>
      <c r="B673" s="18"/>
      <c r="C673" s="19" t="s">
        <v>259</v>
      </c>
      <c r="D673" s="30" t="s">
        <v>38</v>
      </c>
      <c r="E673" s="18" t="s">
        <v>14</v>
      </c>
      <c r="F673" s="31">
        <v>79.989999999999995</v>
      </c>
      <c r="G673" s="31"/>
      <c r="H673" s="37">
        <f t="shared" ca="1" si="7"/>
        <v>5820.9520000000057</v>
      </c>
    </row>
    <row r="674" spans="1:8" x14ac:dyDescent="0.2">
      <c r="A674" s="17">
        <v>45499</v>
      </c>
      <c r="B674" s="18"/>
      <c r="C674" s="19" t="s">
        <v>28</v>
      </c>
      <c r="D674" s="30" t="s">
        <v>55</v>
      </c>
      <c r="E674" s="18" t="s">
        <v>14</v>
      </c>
      <c r="F674" s="31">
        <v>1209.9000000000001</v>
      </c>
      <c r="G674" s="31"/>
      <c r="H674" s="37">
        <f t="shared" ca="1" si="7"/>
        <v>4611.0520000000051</v>
      </c>
    </row>
    <row r="675" spans="1:8" x14ac:dyDescent="0.2">
      <c r="A675" s="17">
        <v>45499</v>
      </c>
      <c r="B675" s="18"/>
      <c r="C675" s="19" t="s">
        <v>29</v>
      </c>
      <c r="D675" s="30" t="s">
        <v>45</v>
      </c>
      <c r="E675" s="18" t="s">
        <v>14</v>
      </c>
      <c r="F675" s="31">
        <v>231.59</v>
      </c>
      <c r="G675" s="31"/>
      <c r="H675" s="37">
        <f t="shared" ca="1" si="7"/>
        <v>4379.462000000005</v>
      </c>
    </row>
    <row r="676" spans="1:8" x14ac:dyDescent="0.2">
      <c r="A676" s="17">
        <v>45500</v>
      </c>
      <c r="B676" s="18"/>
      <c r="C676" s="19" t="s">
        <v>66</v>
      </c>
      <c r="D676" s="30" t="s">
        <v>318</v>
      </c>
      <c r="E676" s="18" t="s">
        <v>14</v>
      </c>
      <c r="F676" s="31"/>
      <c r="G676" s="31">
        <v>59.12</v>
      </c>
      <c r="H676" s="37">
        <f t="shared" ca="1" si="7"/>
        <v>4438.5820000000049</v>
      </c>
    </row>
    <row r="677" spans="1:8" x14ac:dyDescent="0.2">
      <c r="A677" s="17">
        <v>45495</v>
      </c>
      <c r="B677" s="18"/>
      <c r="C677" s="19" t="s">
        <v>66</v>
      </c>
      <c r="D677" s="30" t="s">
        <v>367</v>
      </c>
      <c r="E677" s="18" t="s">
        <v>14</v>
      </c>
      <c r="F677" s="31"/>
      <c r="G677" s="31">
        <v>23</v>
      </c>
      <c r="H677" s="37">
        <f t="shared" ca="1" si="7"/>
        <v>4461.5820000000049</v>
      </c>
    </row>
    <row r="678" spans="1:8" x14ac:dyDescent="0.2">
      <c r="A678" s="17">
        <v>45502</v>
      </c>
      <c r="B678" s="18"/>
      <c r="C678" s="19" t="s">
        <v>250</v>
      </c>
      <c r="D678" s="30" t="s">
        <v>32</v>
      </c>
      <c r="E678" s="18" t="s">
        <v>14</v>
      </c>
      <c r="F678" s="31">
        <v>312.24</v>
      </c>
      <c r="G678" s="31"/>
      <c r="H678" s="37">
        <f t="shared" ca="1" si="7"/>
        <v>4149.3420000000051</v>
      </c>
    </row>
    <row r="679" spans="1:8" x14ac:dyDescent="0.2">
      <c r="A679" s="17">
        <v>45502</v>
      </c>
      <c r="B679" s="18">
        <v>1413</v>
      </c>
      <c r="C679" s="19" t="s">
        <v>369</v>
      </c>
      <c r="D679" s="30"/>
      <c r="E679" s="18" t="s">
        <v>14</v>
      </c>
      <c r="F679" s="31">
        <v>680</v>
      </c>
      <c r="G679" s="31"/>
      <c r="H679" s="37">
        <f t="shared" ca="1" si="7"/>
        <v>3469.3420000000051</v>
      </c>
    </row>
    <row r="680" spans="1:8" x14ac:dyDescent="0.2">
      <c r="A680" s="17">
        <v>45502</v>
      </c>
      <c r="B680" s="18"/>
      <c r="C680" s="19" t="s">
        <v>33</v>
      </c>
      <c r="D680" s="30" t="s">
        <v>34</v>
      </c>
      <c r="E680" s="18" t="s">
        <v>14</v>
      </c>
      <c r="F680" s="31">
        <v>264</v>
      </c>
      <c r="G680" s="31"/>
      <c r="H680" s="37">
        <f t="shared" ca="1" si="7"/>
        <v>3205.3420000000051</v>
      </c>
    </row>
    <row r="681" spans="1:8" x14ac:dyDescent="0.2">
      <c r="A681" s="17">
        <v>45502</v>
      </c>
      <c r="B681" s="18"/>
      <c r="C681" s="19" t="s">
        <v>271</v>
      </c>
      <c r="D681" s="30" t="s">
        <v>47</v>
      </c>
      <c r="E681" s="18" t="s">
        <v>14</v>
      </c>
      <c r="F681" s="31">
        <v>2946.56</v>
      </c>
      <c r="G681" s="31"/>
      <c r="H681" s="37">
        <f t="shared" ca="1" si="7"/>
        <v>258.78200000000516</v>
      </c>
    </row>
    <row r="682" spans="1:8" x14ac:dyDescent="0.2">
      <c r="A682" s="17">
        <v>45502</v>
      </c>
      <c r="B682" s="18"/>
      <c r="C682" s="19" t="s">
        <v>356</v>
      </c>
      <c r="D682" s="30" t="s">
        <v>370</v>
      </c>
      <c r="E682" s="18" t="s">
        <v>14</v>
      </c>
      <c r="F682" s="31">
        <v>4.24</v>
      </c>
      <c r="G682" s="31"/>
      <c r="H682" s="37">
        <f t="shared" ca="1" si="7"/>
        <v>254.54200000000515</v>
      </c>
    </row>
    <row r="683" spans="1:8" x14ac:dyDescent="0.2">
      <c r="A683" s="17">
        <v>45486</v>
      </c>
      <c r="B683" s="18"/>
      <c r="C683" s="19" t="s">
        <v>33</v>
      </c>
      <c r="D683" s="30" t="s">
        <v>245</v>
      </c>
      <c r="E683" s="18" t="s">
        <v>14</v>
      </c>
      <c r="F683" s="31"/>
      <c r="G683" s="31">
        <v>4</v>
      </c>
      <c r="H683" s="37">
        <f t="shared" ca="1" si="7"/>
        <v>258.54200000000515</v>
      </c>
    </row>
    <row r="684" spans="1:8" x14ac:dyDescent="0.2">
      <c r="A684" s="17">
        <v>45513</v>
      </c>
      <c r="B684" s="18"/>
      <c r="C684" s="19" t="s">
        <v>33</v>
      </c>
      <c r="D684" s="30" t="s">
        <v>40</v>
      </c>
      <c r="E684" s="18" t="s">
        <v>14</v>
      </c>
      <c r="F684" s="31"/>
      <c r="G684" s="31">
        <v>3588.82</v>
      </c>
      <c r="H684" s="37">
        <f t="shared" ca="1" si="7"/>
        <v>3847.3620000000055</v>
      </c>
    </row>
    <row r="685" spans="1:8" x14ac:dyDescent="0.2">
      <c r="A685" s="17">
        <v>45513</v>
      </c>
      <c r="B685" s="18"/>
      <c r="C685" s="19" t="s">
        <v>242</v>
      </c>
      <c r="D685" s="30" t="s">
        <v>284</v>
      </c>
      <c r="E685" s="18" t="s">
        <v>14</v>
      </c>
      <c r="F685" s="31">
        <v>77</v>
      </c>
      <c r="G685" s="31"/>
      <c r="H685" s="37">
        <f t="shared" ca="1" si="7"/>
        <v>3770.3620000000055</v>
      </c>
    </row>
    <row r="686" spans="1:8" x14ac:dyDescent="0.2">
      <c r="A686" s="17">
        <v>45513</v>
      </c>
      <c r="B686" s="18"/>
      <c r="C686" s="19" t="s">
        <v>46</v>
      </c>
      <c r="D686" s="30" t="s">
        <v>47</v>
      </c>
      <c r="E686" s="18" t="s">
        <v>14</v>
      </c>
      <c r="F686" s="31">
        <v>262.64</v>
      </c>
      <c r="G686" s="31"/>
      <c r="H686" s="37">
        <f t="shared" ca="1" si="7"/>
        <v>3507.7220000000057</v>
      </c>
    </row>
    <row r="687" spans="1:8" x14ac:dyDescent="0.2">
      <c r="A687" s="17">
        <v>45513</v>
      </c>
      <c r="B687" s="18"/>
      <c r="C687" s="19" t="s">
        <v>244</v>
      </c>
      <c r="D687" s="30" t="s">
        <v>47</v>
      </c>
      <c r="E687" s="18" t="s">
        <v>14</v>
      </c>
      <c r="F687" s="31">
        <v>100</v>
      </c>
      <c r="G687" s="31"/>
      <c r="H687" s="37">
        <f t="shared" ca="1" si="7"/>
        <v>3407.7220000000057</v>
      </c>
    </row>
    <row r="688" spans="1:8" x14ac:dyDescent="0.2">
      <c r="A688" s="17">
        <v>45513</v>
      </c>
      <c r="B688" s="18"/>
      <c r="C688" s="19" t="s">
        <v>36</v>
      </c>
      <c r="D688" s="30" t="s">
        <v>323</v>
      </c>
      <c r="E688" s="18" t="s">
        <v>14</v>
      </c>
      <c r="F688" s="31">
        <v>395.76</v>
      </c>
      <c r="G688" s="31"/>
      <c r="H688" s="37">
        <f t="shared" ca="1" si="7"/>
        <v>3011.9620000000059</v>
      </c>
    </row>
    <row r="689" spans="1:8" x14ac:dyDescent="0.2">
      <c r="A689" s="17">
        <v>45513</v>
      </c>
      <c r="B689" s="18"/>
      <c r="C689" s="19" t="s">
        <v>271</v>
      </c>
      <c r="D689" s="30" t="s">
        <v>47</v>
      </c>
      <c r="E689" s="18" t="s">
        <v>14</v>
      </c>
      <c r="F689" s="31">
        <v>4446.3999999999996</v>
      </c>
      <c r="G689" s="31"/>
      <c r="H689" s="37">
        <f t="shared" ca="1" si="7"/>
        <v>-1434.4379999999937</v>
      </c>
    </row>
    <row r="690" spans="1:8" x14ac:dyDescent="0.2">
      <c r="A690" s="17">
        <v>45513</v>
      </c>
      <c r="B690" s="18"/>
      <c r="C690" s="19" t="s">
        <v>33</v>
      </c>
      <c r="D690" s="30" t="s">
        <v>52</v>
      </c>
      <c r="E690" s="18" t="s">
        <v>14</v>
      </c>
      <c r="F690" s="31"/>
      <c r="G690" s="31">
        <v>2300</v>
      </c>
      <c r="H690" s="37">
        <f t="shared" ca="1" si="7"/>
        <v>865.56200000000626</v>
      </c>
    </row>
    <row r="691" spans="1:8" x14ac:dyDescent="0.2">
      <c r="A691" s="17">
        <v>45516</v>
      </c>
      <c r="B691" s="18"/>
      <c r="C691" s="19" t="s">
        <v>66</v>
      </c>
      <c r="D691" s="30" t="s">
        <v>367</v>
      </c>
      <c r="E691" s="18" t="s">
        <v>14</v>
      </c>
      <c r="F691" s="31">
        <v>40</v>
      </c>
      <c r="G691" s="31"/>
      <c r="H691" s="37">
        <f t="shared" ca="1" si="7"/>
        <v>825.56200000000626</v>
      </c>
    </row>
    <row r="692" spans="1:8" x14ac:dyDescent="0.2">
      <c r="A692" s="17">
        <v>45523</v>
      </c>
      <c r="B692" s="18"/>
      <c r="C692" s="19" t="s">
        <v>250</v>
      </c>
      <c r="D692" s="30" t="s">
        <v>32</v>
      </c>
      <c r="E692" s="18" t="s">
        <v>14</v>
      </c>
      <c r="F692" s="31">
        <v>314.64999999999998</v>
      </c>
      <c r="G692" s="31"/>
      <c r="H692" s="37">
        <f t="shared" ca="1" si="7"/>
        <v>510.91200000000629</v>
      </c>
    </row>
    <row r="693" spans="1:8" x14ac:dyDescent="0.2">
      <c r="A693" s="17">
        <v>45526</v>
      </c>
      <c r="B693" s="18"/>
      <c r="C693" s="19" t="s">
        <v>33</v>
      </c>
      <c r="D693" s="30" t="s">
        <v>371</v>
      </c>
      <c r="E693" s="18" t="s">
        <v>14</v>
      </c>
      <c r="F693" s="31"/>
      <c r="G693" s="31">
        <v>3588.84</v>
      </c>
      <c r="H693" s="37">
        <f t="shared" ca="1" si="7"/>
        <v>4099.7520000000068</v>
      </c>
    </row>
    <row r="694" spans="1:8" x14ac:dyDescent="0.2">
      <c r="A694" s="17">
        <v>45526</v>
      </c>
      <c r="B694" s="18"/>
      <c r="C694" s="19" t="s">
        <v>33</v>
      </c>
      <c r="D694" s="30" t="s">
        <v>274</v>
      </c>
      <c r="E694" s="18" t="s">
        <v>14</v>
      </c>
      <c r="F694" s="31"/>
      <c r="G694" s="31">
        <v>1.26</v>
      </c>
      <c r="H694" s="37">
        <f t="shared" ca="1" si="7"/>
        <v>4101.012000000007</v>
      </c>
    </row>
    <row r="695" spans="1:8" x14ac:dyDescent="0.2">
      <c r="A695" s="17">
        <v>45527</v>
      </c>
      <c r="B695" s="18"/>
      <c r="C695" s="19" t="s">
        <v>36</v>
      </c>
      <c r="D695" s="30" t="s">
        <v>278</v>
      </c>
      <c r="E695" s="18" t="s">
        <v>14</v>
      </c>
      <c r="F695" s="31">
        <v>397.43</v>
      </c>
      <c r="G695" s="31"/>
      <c r="H695" s="37">
        <f t="shared" ca="1" si="7"/>
        <v>3703.5820000000072</v>
      </c>
    </row>
    <row r="696" spans="1:8" x14ac:dyDescent="0.2">
      <c r="A696" s="17">
        <v>45527</v>
      </c>
      <c r="B696" s="18"/>
      <c r="C696" s="19" t="s">
        <v>27</v>
      </c>
      <c r="D696" s="30" t="s">
        <v>30</v>
      </c>
      <c r="E696" s="18" t="s">
        <v>14</v>
      </c>
      <c r="F696" s="31">
        <v>226.17</v>
      </c>
      <c r="G696" s="31"/>
      <c r="H696" s="37">
        <f t="shared" ca="1" si="7"/>
        <v>3477.4120000000071</v>
      </c>
    </row>
    <row r="697" spans="1:8" x14ac:dyDescent="0.2">
      <c r="A697" s="17">
        <v>45527</v>
      </c>
      <c r="B697" s="18"/>
      <c r="C697" s="19" t="s">
        <v>361</v>
      </c>
      <c r="D697" s="30" t="s">
        <v>38</v>
      </c>
      <c r="E697" s="18" t="s">
        <v>14</v>
      </c>
      <c r="F697" s="31">
        <v>79.989999999999995</v>
      </c>
      <c r="G697" s="31"/>
      <c r="H697" s="37">
        <f t="shared" ca="1" si="7"/>
        <v>3397.4220000000073</v>
      </c>
    </row>
    <row r="698" spans="1:8" x14ac:dyDescent="0.2">
      <c r="A698" s="17">
        <v>45527</v>
      </c>
      <c r="B698" s="18"/>
      <c r="C698" s="19" t="s">
        <v>372</v>
      </c>
      <c r="D698" s="30"/>
      <c r="E698" s="18" t="s">
        <v>14</v>
      </c>
      <c r="F698" s="31"/>
      <c r="G698" s="31">
        <v>80.400000000000006</v>
      </c>
      <c r="H698" s="37">
        <f t="shared" ca="1" si="7"/>
        <v>3477.8220000000074</v>
      </c>
    </row>
    <row r="699" spans="1:8" x14ac:dyDescent="0.2">
      <c r="A699" s="17">
        <v>45529</v>
      </c>
      <c r="B699" s="18">
        <v>1414</v>
      </c>
      <c r="C699" s="19" t="s">
        <v>373</v>
      </c>
      <c r="D699" s="30" t="s">
        <v>374</v>
      </c>
      <c r="E699" s="18" t="s">
        <v>14</v>
      </c>
      <c r="F699" s="31">
        <v>837</v>
      </c>
      <c r="G699" s="31"/>
      <c r="H699" s="37">
        <f t="shared" ca="1" si="7"/>
        <v>2640.8220000000074</v>
      </c>
    </row>
    <row r="700" spans="1:8" x14ac:dyDescent="0.2">
      <c r="A700" s="17">
        <v>45529</v>
      </c>
      <c r="B700" s="18"/>
      <c r="C700" s="19" t="s">
        <v>356</v>
      </c>
      <c r="D700" s="30" t="s">
        <v>332</v>
      </c>
      <c r="E700" s="18" t="s">
        <v>14</v>
      </c>
      <c r="F700" s="31">
        <v>10.66</v>
      </c>
      <c r="G700" s="31"/>
      <c r="H700" s="37">
        <f t="shared" ca="1" si="7"/>
        <v>2630.1620000000075</v>
      </c>
    </row>
    <row r="701" spans="1:8" x14ac:dyDescent="0.2">
      <c r="A701" s="17">
        <v>45527</v>
      </c>
      <c r="B701" s="18"/>
      <c r="C701" s="19" t="s">
        <v>33</v>
      </c>
      <c r="D701" s="30" t="s">
        <v>34</v>
      </c>
      <c r="E701" s="18" t="s">
        <v>14</v>
      </c>
      <c r="F701" s="31">
        <v>100</v>
      </c>
      <c r="G701" s="31"/>
      <c r="H701" s="37">
        <f t="shared" ca="1" si="7"/>
        <v>2530.1620000000075</v>
      </c>
    </row>
    <row r="702" spans="1:8" x14ac:dyDescent="0.2">
      <c r="A702" s="17">
        <v>45536</v>
      </c>
      <c r="B702" s="18"/>
      <c r="C702" s="19" t="s">
        <v>29</v>
      </c>
      <c r="D702" s="30" t="s">
        <v>45</v>
      </c>
      <c r="E702" s="18" t="s">
        <v>14</v>
      </c>
      <c r="F702" s="31">
        <v>231.58</v>
      </c>
      <c r="G702" s="31"/>
      <c r="H702" s="37">
        <f t="shared" ca="1" si="7"/>
        <v>2298.5820000000076</v>
      </c>
    </row>
    <row r="703" spans="1:8" x14ac:dyDescent="0.2">
      <c r="A703" s="17">
        <v>45536</v>
      </c>
      <c r="B703" s="18"/>
      <c r="C703" s="19" t="s">
        <v>28</v>
      </c>
      <c r="D703" s="30" t="s">
        <v>55</v>
      </c>
      <c r="E703" s="18" t="s">
        <v>14</v>
      </c>
      <c r="F703" s="31">
        <v>1209.9000000000001</v>
      </c>
      <c r="G703" s="31"/>
      <c r="H703" s="37">
        <f t="shared" ca="1" si="7"/>
        <v>1088.6820000000075</v>
      </c>
    </row>
    <row r="704" spans="1:8" x14ac:dyDescent="0.2">
      <c r="A704" s="17">
        <v>45541</v>
      </c>
      <c r="B704" s="18"/>
      <c r="C704" s="19" t="s">
        <v>33</v>
      </c>
      <c r="D704" s="30" t="s">
        <v>40</v>
      </c>
      <c r="E704" s="18" t="s">
        <v>14</v>
      </c>
      <c r="F704" s="31"/>
      <c r="G704" s="31">
        <v>3588.83</v>
      </c>
      <c r="H704" s="37">
        <f t="shared" ca="1" si="7"/>
        <v>4677.5120000000079</v>
      </c>
    </row>
    <row r="705" spans="1:8" x14ac:dyDescent="0.2">
      <c r="A705" s="17">
        <v>45541</v>
      </c>
      <c r="B705" s="18"/>
      <c r="C705" s="19" t="s">
        <v>66</v>
      </c>
      <c r="D705" s="30" t="s">
        <v>318</v>
      </c>
      <c r="E705" s="18" t="s">
        <v>14</v>
      </c>
      <c r="F705" s="31"/>
      <c r="G705" s="31">
        <v>59.11</v>
      </c>
      <c r="H705" s="37">
        <f t="shared" ca="1" si="7"/>
        <v>4736.6220000000076</v>
      </c>
    </row>
    <row r="706" spans="1:8" x14ac:dyDescent="0.2">
      <c r="A706" s="17">
        <v>45541</v>
      </c>
      <c r="B706" s="18"/>
      <c r="C706" s="19" t="s">
        <v>244</v>
      </c>
      <c r="D706" s="30" t="s">
        <v>47</v>
      </c>
      <c r="E706" s="18" t="s">
        <v>14</v>
      </c>
      <c r="F706" s="31">
        <v>100</v>
      </c>
      <c r="G706" s="31"/>
      <c r="H706" s="37">
        <f t="shared" ca="1" si="7"/>
        <v>4636.6220000000076</v>
      </c>
    </row>
    <row r="707" spans="1:8" x14ac:dyDescent="0.2">
      <c r="A707" s="17">
        <v>45541</v>
      </c>
      <c r="B707" s="18"/>
      <c r="C707" s="19" t="s">
        <v>46</v>
      </c>
      <c r="D707" s="30" t="s">
        <v>47</v>
      </c>
      <c r="E707" s="18" t="s">
        <v>14</v>
      </c>
      <c r="F707" s="31">
        <v>201.71</v>
      </c>
      <c r="G707" s="31"/>
      <c r="H707" s="37">
        <f t="shared" ca="1" si="7"/>
        <v>4434.9120000000075</v>
      </c>
    </row>
    <row r="708" spans="1:8" x14ac:dyDescent="0.2">
      <c r="A708" s="17">
        <v>45541</v>
      </c>
      <c r="B708" s="18"/>
      <c r="C708" s="19" t="s">
        <v>242</v>
      </c>
      <c r="D708" s="30" t="s">
        <v>284</v>
      </c>
      <c r="E708" s="18" t="s">
        <v>14</v>
      </c>
      <c r="F708" s="31">
        <v>77</v>
      </c>
      <c r="G708" s="31"/>
      <c r="H708" s="37">
        <f t="shared" ca="1" si="7"/>
        <v>4357.9120000000075</v>
      </c>
    </row>
    <row r="709" spans="1:8" x14ac:dyDescent="0.2">
      <c r="A709" s="17">
        <v>45541</v>
      </c>
      <c r="B709" s="18"/>
      <c r="C709" s="19" t="s">
        <v>356</v>
      </c>
      <c r="D709" s="30" t="s">
        <v>47</v>
      </c>
      <c r="E709" s="18" t="s">
        <v>14</v>
      </c>
      <c r="F709" s="31">
        <v>5859.59</v>
      </c>
      <c r="G709" s="31"/>
      <c r="H709" s="37">
        <f t="shared" ca="1" si="7"/>
        <v>-1501.6779999999926</v>
      </c>
    </row>
    <row r="710" spans="1:8" x14ac:dyDescent="0.2">
      <c r="A710" s="17">
        <v>45541</v>
      </c>
      <c r="B710" s="18"/>
      <c r="C710" s="19" t="s">
        <v>356</v>
      </c>
      <c r="D710" s="30" t="s">
        <v>323</v>
      </c>
      <c r="E710" s="18" t="s">
        <v>14</v>
      </c>
      <c r="F710" s="31">
        <v>395.76</v>
      </c>
      <c r="G710" s="31"/>
      <c r="H710" s="37">
        <f t="shared" ca="1" si="7"/>
        <v>-1897.4379999999926</v>
      </c>
    </row>
    <row r="711" spans="1:8" x14ac:dyDescent="0.2">
      <c r="A711" s="17">
        <v>45541</v>
      </c>
      <c r="B711" s="18"/>
      <c r="C711" s="19" t="s">
        <v>52</v>
      </c>
      <c r="D711" s="30"/>
      <c r="E711" s="18" t="s">
        <v>14</v>
      </c>
      <c r="F711" s="31"/>
      <c r="G711" s="31">
        <v>2000</v>
      </c>
      <c r="H711" s="37">
        <f t="shared" ca="1" si="7"/>
        <v>102.5620000000074</v>
      </c>
    </row>
    <row r="712" spans="1:8" x14ac:dyDescent="0.2">
      <c r="A712" s="17">
        <v>45541</v>
      </c>
      <c r="B712" s="18"/>
      <c r="C712" s="19" t="s">
        <v>250</v>
      </c>
      <c r="D712" s="30" t="s">
        <v>32</v>
      </c>
      <c r="E712" s="18" t="s">
        <v>14</v>
      </c>
      <c r="F712" s="31">
        <v>117.96</v>
      </c>
      <c r="G712" s="31"/>
      <c r="H712" s="37">
        <f t="shared" ca="1" si="7"/>
        <v>-15.397999999992592</v>
      </c>
    </row>
    <row r="713" spans="1:8" x14ac:dyDescent="0.2">
      <c r="A713" s="17">
        <v>45551</v>
      </c>
      <c r="B713" s="18"/>
      <c r="C713" s="19" t="s">
        <v>250</v>
      </c>
      <c r="D713" s="30" t="s">
        <v>32</v>
      </c>
      <c r="E713" s="18" t="s">
        <v>14</v>
      </c>
      <c r="F713" s="31">
        <v>309.83999999999997</v>
      </c>
      <c r="G713" s="31"/>
      <c r="H713" s="37">
        <f t="shared" ca="1" si="7"/>
        <v>-325.23799999999255</v>
      </c>
    </row>
    <row r="714" spans="1:8" x14ac:dyDescent="0.2">
      <c r="A714" s="17">
        <v>45555</v>
      </c>
      <c r="B714" s="18"/>
      <c r="C714" s="19" t="s">
        <v>33</v>
      </c>
      <c r="D714" s="30" t="s">
        <v>40</v>
      </c>
      <c r="E714" s="18" t="s">
        <v>14</v>
      </c>
      <c r="F714" s="31"/>
      <c r="G714" s="31">
        <v>3588.84</v>
      </c>
      <c r="H714" s="37">
        <f t="shared" ca="1" si="7"/>
        <v>3263.6020000000076</v>
      </c>
    </row>
    <row r="715" spans="1:8" x14ac:dyDescent="0.2">
      <c r="A715" s="17">
        <v>45553</v>
      </c>
      <c r="B715" s="18"/>
      <c r="C715" s="19" t="s">
        <v>66</v>
      </c>
      <c r="D715" s="30"/>
      <c r="E715" s="18" t="s">
        <v>14</v>
      </c>
      <c r="F715" s="31">
        <v>20</v>
      </c>
      <c r="G715" s="31"/>
      <c r="H715" s="37">
        <f t="shared" ca="1" si="7"/>
        <v>3243.6020000000076</v>
      </c>
    </row>
    <row r="716" spans="1:8" x14ac:dyDescent="0.2">
      <c r="A716" s="17">
        <v>45555</v>
      </c>
      <c r="B716" s="18"/>
      <c r="C716" s="19" t="s">
        <v>36</v>
      </c>
      <c r="D716" s="30" t="s">
        <v>278</v>
      </c>
      <c r="E716" s="18" t="s">
        <v>14</v>
      </c>
      <c r="F716" s="31">
        <v>397.43</v>
      </c>
      <c r="G716" s="31"/>
      <c r="H716" s="37">
        <f t="shared" ca="1" si="7"/>
        <v>2846.1720000000078</v>
      </c>
    </row>
    <row r="717" spans="1:8" x14ac:dyDescent="0.2">
      <c r="A717" s="17">
        <v>45555</v>
      </c>
      <c r="B717" s="18"/>
      <c r="C717" s="19" t="s">
        <v>27</v>
      </c>
      <c r="D717" s="30" t="s">
        <v>30</v>
      </c>
      <c r="E717" s="18" t="s">
        <v>14</v>
      </c>
      <c r="F717" s="31">
        <v>226.58</v>
      </c>
      <c r="G717" s="31"/>
      <c r="H717" s="37">
        <f t="shared" ca="1" si="7"/>
        <v>2619.5920000000078</v>
      </c>
    </row>
    <row r="718" spans="1:8" x14ac:dyDescent="0.2">
      <c r="A718" s="17">
        <v>45560</v>
      </c>
      <c r="B718" s="18"/>
      <c r="C718" s="19" t="s">
        <v>66</v>
      </c>
      <c r="D718" s="30" t="s">
        <v>375</v>
      </c>
      <c r="E718" s="18" t="s">
        <v>14</v>
      </c>
      <c r="F718" s="31"/>
      <c r="G718" s="31">
        <v>100</v>
      </c>
      <c r="H718" s="37">
        <f t="shared" ca="1" si="7"/>
        <v>2719.5920000000078</v>
      </c>
    </row>
    <row r="719" spans="1:8" x14ac:dyDescent="0.2">
      <c r="A719" s="17">
        <v>45560</v>
      </c>
      <c r="B719" s="18"/>
      <c r="C719" s="19" t="s">
        <v>66</v>
      </c>
      <c r="D719" s="30" t="s">
        <v>375</v>
      </c>
      <c r="E719" s="18" t="s">
        <v>14</v>
      </c>
      <c r="F719" s="31">
        <v>100</v>
      </c>
      <c r="G719" s="31"/>
      <c r="H719" s="37">
        <f t="shared" ca="1" si="7"/>
        <v>2619.5920000000078</v>
      </c>
    </row>
    <row r="720" spans="1:8" x14ac:dyDescent="0.2">
      <c r="A720" s="17">
        <v>45560</v>
      </c>
      <c r="B720" s="18"/>
      <c r="C720" s="19" t="s">
        <v>33</v>
      </c>
      <c r="D720" s="30" t="s">
        <v>34</v>
      </c>
      <c r="E720" s="18" t="s">
        <v>14</v>
      </c>
      <c r="F720" s="31">
        <v>100</v>
      </c>
      <c r="G720" s="31"/>
      <c r="H720" s="37">
        <f t="shared" ca="1" si="7"/>
        <v>2519.5920000000078</v>
      </c>
    </row>
    <row r="721" spans="1:8" x14ac:dyDescent="0.2">
      <c r="A721" s="17">
        <v>45562</v>
      </c>
      <c r="B721" s="18"/>
      <c r="C721" s="19" t="s">
        <v>66</v>
      </c>
      <c r="D721" s="30" t="s">
        <v>312</v>
      </c>
      <c r="E721" s="18" t="s">
        <v>14</v>
      </c>
      <c r="F721" s="31">
        <v>200</v>
      </c>
      <c r="G721" s="31"/>
      <c r="H721" s="37">
        <f t="shared" ca="1" si="7"/>
        <v>2319.5920000000078</v>
      </c>
    </row>
    <row r="722" spans="1:8" x14ac:dyDescent="0.2">
      <c r="A722" s="17">
        <v>45564</v>
      </c>
      <c r="B722" s="18"/>
      <c r="C722" s="19" t="s">
        <v>29</v>
      </c>
      <c r="D722" s="30" t="s">
        <v>45</v>
      </c>
      <c r="E722" s="18" t="s">
        <v>14</v>
      </c>
      <c r="F722" s="31">
        <v>231.73</v>
      </c>
      <c r="G722" s="31"/>
      <c r="H722" s="37">
        <f t="shared" ca="1" si="7"/>
        <v>2087.8620000000078</v>
      </c>
    </row>
    <row r="723" spans="1:8" x14ac:dyDescent="0.2">
      <c r="A723" s="17">
        <v>45564</v>
      </c>
      <c r="B723" s="18"/>
      <c r="C723" s="19" t="s">
        <v>28</v>
      </c>
      <c r="D723" s="30" t="s">
        <v>55</v>
      </c>
      <c r="E723" s="18" t="s">
        <v>14</v>
      </c>
      <c r="F723" s="31">
        <v>1209.9000000000001</v>
      </c>
      <c r="G723" s="31"/>
      <c r="H723" s="37">
        <f t="shared" ca="1" si="7"/>
        <v>877.96200000000772</v>
      </c>
    </row>
    <row r="724" spans="1:8" x14ac:dyDescent="0.2">
      <c r="A724" s="17">
        <v>45566</v>
      </c>
      <c r="B724" s="18"/>
      <c r="C724" s="19" t="s">
        <v>66</v>
      </c>
      <c r="D724" s="30" t="s">
        <v>318</v>
      </c>
      <c r="E724" s="18" t="s">
        <v>14</v>
      </c>
      <c r="F724" s="31"/>
      <c r="G724" s="31">
        <v>59.14</v>
      </c>
      <c r="H724" s="37">
        <f t="shared" ca="1" si="7"/>
        <v>937.10200000000771</v>
      </c>
    </row>
    <row r="725" spans="1:8" x14ac:dyDescent="0.2">
      <c r="A725" s="17">
        <v>45565</v>
      </c>
      <c r="B725" s="18"/>
      <c r="C725" s="19" t="s">
        <v>66</v>
      </c>
      <c r="D725" s="30" t="s">
        <v>376</v>
      </c>
      <c r="E725" s="18" t="s">
        <v>14</v>
      </c>
      <c r="F725" s="31">
        <v>20</v>
      </c>
      <c r="G725" s="31"/>
      <c r="H725" s="37">
        <f t="shared" ca="1" si="7"/>
        <v>917.10200000000771</v>
      </c>
    </row>
    <row r="726" spans="1:8" x14ac:dyDescent="0.2">
      <c r="A726" s="17">
        <v>45569</v>
      </c>
      <c r="B726" s="18"/>
      <c r="C726" s="19" t="s">
        <v>33</v>
      </c>
      <c r="D726" s="30" t="s">
        <v>40</v>
      </c>
      <c r="E726" s="18" t="s">
        <v>14</v>
      </c>
      <c r="F726" s="31"/>
      <c r="G726" s="31">
        <v>3588.83</v>
      </c>
      <c r="H726" s="37">
        <f t="shared" ca="1" si="7"/>
        <v>4505.932000000008</v>
      </c>
    </row>
    <row r="727" spans="1:8" x14ac:dyDescent="0.2">
      <c r="A727" s="17">
        <v>45569</v>
      </c>
      <c r="B727" s="18"/>
      <c r="C727" s="19" t="s">
        <v>66</v>
      </c>
      <c r="D727" s="30" t="s">
        <v>377</v>
      </c>
      <c r="E727" s="18" t="s">
        <v>14</v>
      </c>
      <c r="F727" s="31"/>
      <c r="G727" s="31">
        <v>50</v>
      </c>
      <c r="H727" s="37">
        <f t="shared" ca="1" si="7"/>
        <v>4555.932000000008</v>
      </c>
    </row>
    <row r="728" spans="1:8" x14ac:dyDescent="0.2">
      <c r="A728" s="17">
        <v>45569</v>
      </c>
      <c r="B728" s="18"/>
      <c r="C728" s="19" t="s">
        <v>242</v>
      </c>
      <c r="D728" s="30" t="s">
        <v>284</v>
      </c>
      <c r="E728" s="18" t="s">
        <v>14</v>
      </c>
      <c r="F728" s="31">
        <v>77</v>
      </c>
      <c r="G728" s="31"/>
      <c r="H728" s="37">
        <f t="shared" ca="1" si="7"/>
        <v>4478.932000000008</v>
      </c>
    </row>
    <row r="729" spans="1:8" x14ac:dyDescent="0.2">
      <c r="A729" s="17">
        <v>45569</v>
      </c>
      <c r="B729" s="18"/>
      <c r="C729" s="19" t="s">
        <v>46</v>
      </c>
      <c r="D729" s="30" t="s">
        <v>47</v>
      </c>
      <c r="E729" s="18" t="s">
        <v>14</v>
      </c>
      <c r="F729" s="31">
        <v>74.33</v>
      </c>
      <c r="G729" s="31"/>
      <c r="H729" s="37">
        <f t="shared" ca="1" si="7"/>
        <v>4404.602000000008</v>
      </c>
    </row>
    <row r="730" spans="1:8" x14ac:dyDescent="0.2">
      <c r="A730" s="17">
        <v>45569</v>
      </c>
      <c r="B730" s="18"/>
      <c r="C730" s="19" t="s">
        <v>36</v>
      </c>
      <c r="D730" s="30" t="s">
        <v>323</v>
      </c>
      <c r="E730" s="18" t="s">
        <v>14</v>
      </c>
      <c r="F730" s="31">
        <v>395.76</v>
      </c>
      <c r="G730" s="31"/>
      <c r="H730" s="37">
        <f t="shared" ca="1" si="7"/>
        <v>4008.8420000000078</v>
      </c>
    </row>
    <row r="731" spans="1:8" x14ac:dyDescent="0.2">
      <c r="A731" s="17">
        <v>45569</v>
      </c>
      <c r="B731" s="18"/>
      <c r="C731" s="19" t="s">
        <v>271</v>
      </c>
      <c r="D731" s="30" t="s">
        <v>47</v>
      </c>
      <c r="E731" s="18" t="s">
        <v>14</v>
      </c>
      <c r="F731" s="31">
        <v>4817.6000000000004</v>
      </c>
      <c r="G731" s="31"/>
      <c r="H731" s="37">
        <f t="shared" ca="1" si="7"/>
        <v>-808.75799999999253</v>
      </c>
    </row>
    <row r="732" spans="1:8" x14ac:dyDescent="0.2">
      <c r="A732" s="17">
        <v>45569</v>
      </c>
      <c r="B732" s="18"/>
      <c r="C732" s="19" t="s">
        <v>52</v>
      </c>
      <c r="D732" s="30"/>
      <c r="E732" s="18" t="s">
        <v>14</v>
      </c>
      <c r="F732" s="31"/>
      <c r="G732" s="31">
        <v>850</v>
      </c>
      <c r="H732" s="37">
        <f t="shared" ca="1" si="7"/>
        <v>41.242000000007465</v>
      </c>
    </row>
    <row r="733" spans="1:8" x14ac:dyDescent="0.2">
      <c r="A733" s="17">
        <v>45571</v>
      </c>
      <c r="B733" s="18"/>
      <c r="C733" s="19" t="s">
        <v>356</v>
      </c>
      <c r="D733" s="30" t="s">
        <v>378</v>
      </c>
      <c r="E733" s="18" t="s">
        <v>14</v>
      </c>
      <c r="F733" s="31">
        <v>10.66</v>
      </c>
      <c r="G733" s="31"/>
      <c r="H733" s="37">
        <f t="shared" ca="1" si="7"/>
        <v>30.582000000007465</v>
      </c>
    </row>
    <row r="734" spans="1:8" x14ac:dyDescent="0.2">
      <c r="A734" s="17">
        <v>45572</v>
      </c>
      <c r="B734" s="18"/>
      <c r="C734" s="19" t="s">
        <v>250</v>
      </c>
      <c r="D734" s="30" t="s">
        <v>32</v>
      </c>
      <c r="E734" s="18" t="s">
        <v>14</v>
      </c>
      <c r="F734" s="31">
        <v>253</v>
      </c>
      <c r="G734" s="31"/>
      <c r="H734" s="37">
        <f t="shared" ca="1" si="7"/>
        <v>-222.41799999999253</v>
      </c>
    </row>
    <row r="735" spans="1:8" x14ac:dyDescent="0.2">
      <c r="A735" s="17">
        <v>45580</v>
      </c>
      <c r="B735" s="18"/>
      <c r="C735" s="19" t="s">
        <v>28</v>
      </c>
      <c r="D735" s="30" t="s">
        <v>379</v>
      </c>
      <c r="E735" s="18" t="s">
        <v>14</v>
      </c>
      <c r="F735" s="31"/>
      <c r="G735" s="31">
        <v>17.22</v>
      </c>
      <c r="H735" s="37">
        <f t="shared" ca="1" si="7"/>
        <v>-205.19799999999253</v>
      </c>
    </row>
    <row r="736" spans="1:8" x14ac:dyDescent="0.2">
      <c r="A736" s="17">
        <v>45583</v>
      </c>
      <c r="B736" s="18"/>
      <c r="C736" s="19" t="s">
        <v>33</v>
      </c>
      <c r="D736" s="30" t="s">
        <v>40</v>
      </c>
      <c r="E736" s="18" t="s">
        <v>14</v>
      </c>
      <c r="F736" s="31"/>
      <c r="G736" s="31">
        <v>3588.84</v>
      </c>
      <c r="H736" s="37">
        <f t="shared" ca="1" si="7"/>
        <v>3383.6420000000076</v>
      </c>
    </row>
    <row r="737" spans="1:8" x14ac:dyDescent="0.2">
      <c r="A737" s="17">
        <v>45583</v>
      </c>
      <c r="B737" s="18"/>
      <c r="C737" s="19" t="s">
        <v>244</v>
      </c>
      <c r="D737" s="30" t="s">
        <v>47</v>
      </c>
      <c r="E737" s="18" t="s">
        <v>14</v>
      </c>
      <c r="F737" s="31">
        <v>100</v>
      </c>
      <c r="G737" s="31"/>
      <c r="H737" s="37">
        <f t="shared" ca="1" si="7"/>
        <v>3283.6420000000076</v>
      </c>
    </row>
    <row r="738" spans="1:8" x14ac:dyDescent="0.2">
      <c r="A738" s="17">
        <v>45583</v>
      </c>
      <c r="B738" s="18"/>
      <c r="C738" s="19" t="s">
        <v>36</v>
      </c>
      <c r="D738" s="30" t="s">
        <v>278</v>
      </c>
      <c r="E738" s="18" t="s">
        <v>14</v>
      </c>
      <c r="F738" s="31">
        <v>397.43</v>
      </c>
      <c r="G738" s="31"/>
      <c r="H738" s="37">
        <f t="shared" ca="1" si="7"/>
        <v>2886.2120000000077</v>
      </c>
    </row>
    <row r="739" spans="1:8" x14ac:dyDescent="0.2">
      <c r="A739" s="17">
        <v>45589</v>
      </c>
      <c r="B739" s="18"/>
      <c r="C739" s="19" t="s">
        <v>27</v>
      </c>
      <c r="D739" s="30" t="s">
        <v>30</v>
      </c>
      <c r="E739" s="18" t="s">
        <v>14</v>
      </c>
      <c r="F739" s="31">
        <v>163.09</v>
      </c>
      <c r="G739" s="31"/>
      <c r="H739" s="37">
        <f t="shared" ca="1" si="7"/>
        <v>2723.1220000000076</v>
      </c>
    </row>
    <row r="740" spans="1:8" x14ac:dyDescent="0.2">
      <c r="A740" s="17">
        <v>45592</v>
      </c>
      <c r="B740" s="18"/>
      <c r="C740" s="19" t="s">
        <v>250</v>
      </c>
      <c r="D740" s="30" t="s">
        <v>32</v>
      </c>
      <c r="E740" s="18" t="s">
        <v>14</v>
      </c>
      <c r="F740" s="31">
        <v>319.45</v>
      </c>
      <c r="G740" s="31"/>
      <c r="H740" s="37">
        <f t="shared" ca="1" si="7"/>
        <v>2403.6720000000078</v>
      </c>
    </row>
    <row r="741" spans="1:8" x14ac:dyDescent="0.2">
      <c r="A741" s="17">
        <v>45596</v>
      </c>
      <c r="B741" s="18"/>
      <c r="C741" s="19" t="s">
        <v>29</v>
      </c>
      <c r="D741" s="30" t="s">
        <v>45</v>
      </c>
      <c r="E741" s="18" t="s">
        <v>14</v>
      </c>
      <c r="F741" s="31">
        <v>254.17</v>
      </c>
      <c r="G741" s="31"/>
      <c r="H741" s="37">
        <f t="shared" ca="1" si="7"/>
        <v>2149.5020000000077</v>
      </c>
    </row>
    <row r="742" spans="1:8" x14ac:dyDescent="0.2">
      <c r="A742" s="17">
        <v>45597</v>
      </c>
      <c r="B742" s="18"/>
      <c r="C742" s="19" t="s">
        <v>33</v>
      </c>
      <c r="D742" s="30" t="s">
        <v>40</v>
      </c>
      <c r="E742" s="18" t="s">
        <v>14</v>
      </c>
      <c r="F742" s="31"/>
      <c r="G742" s="31">
        <v>3588.82</v>
      </c>
      <c r="H742" s="37">
        <f t="shared" ca="1" si="7"/>
        <v>5738.3220000000074</v>
      </c>
    </row>
    <row r="743" spans="1:8" x14ac:dyDescent="0.2">
      <c r="A743" s="17">
        <v>45597</v>
      </c>
      <c r="B743" s="18"/>
      <c r="C743" s="19" t="s">
        <v>28</v>
      </c>
      <c r="D743" s="30" t="s">
        <v>55</v>
      </c>
      <c r="E743" s="18" t="s">
        <v>14</v>
      </c>
      <c r="F743" s="31">
        <v>1208.8900000000001</v>
      </c>
      <c r="G743" s="31"/>
      <c r="H743" s="37">
        <f t="shared" ca="1" si="7"/>
        <v>4529.4320000000071</v>
      </c>
    </row>
    <row r="744" spans="1:8" x14ac:dyDescent="0.2">
      <c r="A744" s="17">
        <v>45597</v>
      </c>
      <c r="B744" s="18"/>
      <c r="C744" s="19" t="s">
        <v>271</v>
      </c>
      <c r="D744" s="30" t="s">
        <v>47</v>
      </c>
      <c r="E744" s="18" t="s">
        <v>14</v>
      </c>
      <c r="F744" s="31">
        <v>4830.17</v>
      </c>
      <c r="G744" s="31"/>
      <c r="H744" s="37">
        <f t="shared" ca="1" si="7"/>
        <v>-300.73799999999301</v>
      </c>
    </row>
    <row r="745" spans="1:8" x14ac:dyDescent="0.2">
      <c r="A745" s="17">
        <v>45597</v>
      </c>
      <c r="B745" s="18"/>
      <c r="C745" s="19" t="s">
        <v>33</v>
      </c>
      <c r="D745" s="30" t="s">
        <v>52</v>
      </c>
      <c r="E745" s="18" t="s">
        <v>14</v>
      </c>
      <c r="F745" s="31"/>
      <c r="G745" s="31">
        <v>350.33</v>
      </c>
      <c r="H745" s="37">
        <f t="shared" ca="1" si="7"/>
        <v>49.592000000006976</v>
      </c>
    </row>
    <row r="746" spans="1:8" x14ac:dyDescent="0.2">
      <c r="A746" s="17">
        <v>45597</v>
      </c>
      <c r="B746" s="18"/>
      <c r="C746" s="19" t="s">
        <v>66</v>
      </c>
      <c r="D746" s="30" t="s">
        <v>318</v>
      </c>
      <c r="E746" s="18" t="s">
        <v>14</v>
      </c>
      <c r="F746" s="31"/>
      <c r="G746" s="31">
        <v>59.9</v>
      </c>
      <c r="H746" s="37">
        <f t="shared" ca="1" si="7"/>
        <v>109.49200000000698</v>
      </c>
    </row>
    <row r="747" spans="1:8" x14ac:dyDescent="0.2">
      <c r="A747" s="17">
        <v>45611</v>
      </c>
      <c r="B747" s="18"/>
      <c r="C747" s="19" t="s">
        <v>33</v>
      </c>
      <c r="D747" s="30" t="s">
        <v>40</v>
      </c>
      <c r="E747" s="18" t="s">
        <v>14</v>
      </c>
      <c r="F747" s="31"/>
      <c r="G747" s="31">
        <v>3588.83</v>
      </c>
      <c r="H747" s="37">
        <f t="shared" ca="1" si="7"/>
        <v>3698.3220000000069</v>
      </c>
    </row>
    <row r="748" spans="1:8" x14ac:dyDescent="0.2">
      <c r="A748" s="17">
        <v>45611</v>
      </c>
      <c r="B748" s="18"/>
      <c r="C748" s="19" t="s">
        <v>242</v>
      </c>
      <c r="D748" s="30" t="s">
        <v>284</v>
      </c>
      <c r="E748" s="18" t="s">
        <v>14</v>
      </c>
      <c r="F748" s="31">
        <v>77</v>
      </c>
      <c r="G748" s="31"/>
      <c r="H748" s="37">
        <f t="shared" ca="1" si="7"/>
        <v>3621.3220000000069</v>
      </c>
    </row>
    <row r="749" spans="1:8" x14ac:dyDescent="0.2">
      <c r="A749" s="17">
        <v>45608</v>
      </c>
      <c r="B749" s="18"/>
      <c r="C749" s="19" t="s">
        <v>33</v>
      </c>
      <c r="D749" s="30" t="s">
        <v>34</v>
      </c>
      <c r="E749" s="18" t="s">
        <v>14</v>
      </c>
      <c r="F749" s="31">
        <v>40</v>
      </c>
      <c r="G749" s="31"/>
      <c r="H749" s="37">
        <f t="shared" ca="1" si="7"/>
        <v>3581.3220000000069</v>
      </c>
    </row>
    <row r="750" spans="1:8" x14ac:dyDescent="0.2">
      <c r="A750" s="17">
        <v>45609</v>
      </c>
      <c r="B750" s="18"/>
      <c r="C750" s="19" t="s">
        <v>66</v>
      </c>
      <c r="D750" s="30" t="s">
        <v>380</v>
      </c>
      <c r="E750" s="18" t="s">
        <v>14</v>
      </c>
      <c r="F750" s="31"/>
      <c r="G750" s="31">
        <v>50</v>
      </c>
      <c r="H750" s="37">
        <f t="shared" ca="1" si="7"/>
        <v>3631.3220000000069</v>
      </c>
    </row>
    <row r="751" spans="1:8" x14ac:dyDescent="0.2">
      <c r="A751" s="17">
        <v>45609</v>
      </c>
      <c r="B751" s="18"/>
      <c r="C751" s="19" t="s">
        <v>250</v>
      </c>
      <c r="D751" s="30" t="s">
        <v>32</v>
      </c>
      <c r="E751" s="18" t="s">
        <v>14</v>
      </c>
      <c r="F751" s="31">
        <v>294.63</v>
      </c>
      <c r="G751" s="31"/>
      <c r="H751" s="37">
        <f t="shared" ref="H751:H814" ca="1" si="8">IF(AND(ISBLANK(F751),ISBLANK(G751)),"",OFFSET(H751,-1,0,1,1)+G751-F751)</f>
        <v>3336.6920000000068</v>
      </c>
    </row>
    <row r="752" spans="1:8" x14ac:dyDescent="0.2">
      <c r="A752" s="17">
        <v>45611</v>
      </c>
      <c r="B752" s="18"/>
      <c r="C752" s="19" t="s">
        <v>36</v>
      </c>
      <c r="D752" s="30" t="s">
        <v>323</v>
      </c>
      <c r="E752" s="18" t="s">
        <v>14</v>
      </c>
      <c r="F752" s="31">
        <v>395.76</v>
      </c>
      <c r="G752" s="31"/>
      <c r="H752" s="37">
        <f t="shared" ca="1" si="8"/>
        <v>2940.9320000000071</v>
      </c>
    </row>
    <row r="753" spans="1:8" x14ac:dyDescent="0.2">
      <c r="A753" s="17">
        <v>45611</v>
      </c>
      <c r="B753" s="18"/>
      <c r="C753" s="19" t="s">
        <v>36</v>
      </c>
      <c r="D753" s="30" t="s">
        <v>278</v>
      </c>
      <c r="E753" s="18" t="s">
        <v>14</v>
      </c>
      <c r="F753" s="31">
        <v>397.43</v>
      </c>
      <c r="G753" s="31"/>
      <c r="H753" s="37">
        <f t="shared" ca="1" si="8"/>
        <v>2543.5020000000072</v>
      </c>
    </row>
    <row r="754" spans="1:8" x14ac:dyDescent="0.2">
      <c r="A754" s="17">
        <v>45611</v>
      </c>
      <c r="B754" s="18"/>
      <c r="C754" s="19" t="s">
        <v>46</v>
      </c>
      <c r="D754" s="30" t="s">
        <v>47</v>
      </c>
      <c r="E754" s="18" t="s">
        <v>14</v>
      </c>
      <c r="F754" s="31">
        <v>223.28</v>
      </c>
      <c r="G754" s="31"/>
      <c r="H754" s="37">
        <f t="shared" ca="1" si="8"/>
        <v>2320.222000000007</v>
      </c>
    </row>
    <row r="755" spans="1:8" x14ac:dyDescent="0.2">
      <c r="A755" s="17">
        <v>45610</v>
      </c>
      <c r="B755" s="18"/>
      <c r="C755" s="19" t="s">
        <v>356</v>
      </c>
      <c r="D755" s="30" t="s">
        <v>332</v>
      </c>
      <c r="E755" s="18" t="s">
        <v>14</v>
      </c>
      <c r="F755" s="31">
        <v>10.66</v>
      </c>
      <c r="G755" s="31"/>
      <c r="H755" s="37">
        <f t="shared" ca="1" si="8"/>
        <v>2309.5620000000072</v>
      </c>
    </row>
    <row r="756" spans="1:8" x14ac:dyDescent="0.2">
      <c r="A756" s="17">
        <v>45611</v>
      </c>
      <c r="B756" s="18"/>
      <c r="C756" s="19" t="s">
        <v>244</v>
      </c>
      <c r="D756" s="30" t="s">
        <v>47</v>
      </c>
      <c r="E756" s="18" t="s">
        <v>14</v>
      </c>
      <c r="F756" s="31">
        <v>200</v>
      </c>
      <c r="G756" s="31"/>
      <c r="H756" s="37">
        <f t="shared" ca="1" si="8"/>
        <v>2109.5620000000072</v>
      </c>
    </row>
    <row r="757" spans="1:8" x14ac:dyDescent="0.2">
      <c r="A757" s="17">
        <v>45614</v>
      </c>
      <c r="B757" s="18"/>
      <c r="C757" s="19" t="s">
        <v>33</v>
      </c>
      <c r="D757" s="30" t="s">
        <v>34</v>
      </c>
      <c r="E757" s="18" t="s">
        <v>14</v>
      </c>
      <c r="F757" s="31">
        <v>24</v>
      </c>
      <c r="G757" s="31"/>
      <c r="H757" s="37">
        <f t="shared" ca="1" si="8"/>
        <v>2085.5620000000072</v>
      </c>
    </row>
    <row r="758" spans="1:8" x14ac:dyDescent="0.2">
      <c r="A758" s="17">
        <v>45620</v>
      </c>
      <c r="B758" s="18"/>
      <c r="C758" s="19" t="s">
        <v>259</v>
      </c>
      <c r="D758" s="30" t="s">
        <v>38</v>
      </c>
      <c r="E758" s="18" t="s">
        <v>14</v>
      </c>
      <c r="F758" s="31">
        <v>79.989999999999995</v>
      </c>
      <c r="G758" s="31"/>
      <c r="H758" s="37">
        <f t="shared" ca="1" si="8"/>
        <v>2005.5720000000072</v>
      </c>
    </row>
    <row r="759" spans="1:8" x14ac:dyDescent="0.2">
      <c r="A759" s="17">
        <v>45620</v>
      </c>
      <c r="B759" s="18"/>
      <c r="C759" s="19" t="s">
        <v>27</v>
      </c>
      <c r="D759" s="30" t="s">
        <v>30</v>
      </c>
      <c r="E759" s="18" t="s">
        <v>14</v>
      </c>
      <c r="F759" s="31">
        <v>132.76</v>
      </c>
      <c r="G759" s="31"/>
      <c r="H759" s="37">
        <f t="shared" ca="1" si="8"/>
        <v>1872.8120000000072</v>
      </c>
    </row>
    <row r="760" spans="1:8" x14ac:dyDescent="0.2">
      <c r="A760" s="17">
        <v>45621</v>
      </c>
      <c r="B760" s="18"/>
      <c r="C760" s="19" t="s">
        <v>298</v>
      </c>
      <c r="D760" s="30" t="s">
        <v>32</v>
      </c>
      <c r="E760" s="18" t="s">
        <v>14</v>
      </c>
      <c r="F760" s="31">
        <v>168.13</v>
      </c>
      <c r="G760" s="31"/>
      <c r="H760" s="37">
        <f t="shared" ca="1" si="8"/>
        <v>1704.6820000000071</v>
      </c>
    </row>
    <row r="761" spans="1:8" x14ac:dyDescent="0.2">
      <c r="A761" s="17">
        <v>45623</v>
      </c>
      <c r="B761" s="18"/>
      <c r="C761" s="19" t="s">
        <v>33</v>
      </c>
      <c r="D761" s="30" t="s">
        <v>40</v>
      </c>
      <c r="E761" s="18" t="s">
        <v>14</v>
      </c>
      <c r="F761" s="31"/>
      <c r="G761" s="31">
        <v>3588.84</v>
      </c>
      <c r="H761" s="37">
        <f t="shared" ca="1" si="8"/>
        <v>5293.5220000000072</v>
      </c>
    </row>
    <row r="762" spans="1:8" x14ac:dyDescent="0.2">
      <c r="A762" s="17">
        <v>45623</v>
      </c>
      <c r="B762" s="18"/>
      <c r="C762" s="19" t="s">
        <v>28</v>
      </c>
      <c r="D762" s="30" t="s">
        <v>55</v>
      </c>
      <c r="E762" s="18" t="s">
        <v>14</v>
      </c>
      <c r="F762" s="31">
        <v>1208.8900000000001</v>
      </c>
      <c r="G762" s="31"/>
      <c r="H762" s="37">
        <f t="shared" ca="1" si="8"/>
        <v>4084.6320000000069</v>
      </c>
    </row>
    <row r="763" spans="1:8" x14ac:dyDescent="0.2">
      <c r="A763" s="17">
        <v>45628</v>
      </c>
      <c r="B763" s="18"/>
      <c r="C763" s="19" t="s">
        <v>29</v>
      </c>
      <c r="D763" s="30" t="s">
        <v>45</v>
      </c>
      <c r="E763" s="18" t="s">
        <v>14</v>
      </c>
      <c r="F763" s="31">
        <v>244.15</v>
      </c>
      <c r="G763" s="31"/>
      <c r="H763" s="37">
        <f t="shared" ca="1" si="8"/>
        <v>3840.4820000000068</v>
      </c>
    </row>
    <row r="764" spans="1:8" x14ac:dyDescent="0.2">
      <c r="A764" s="17">
        <v>45629</v>
      </c>
      <c r="B764" s="18"/>
      <c r="C764" s="19" t="s">
        <v>66</v>
      </c>
      <c r="D764" s="30" t="s">
        <v>318</v>
      </c>
      <c r="E764" s="18" t="s">
        <v>14</v>
      </c>
      <c r="F764" s="31"/>
      <c r="G764" s="31">
        <v>59.48</v>
      </c>
      <c r="H764" s="37">
        <f t="shared" ca="1" si="8"/>
        <v>3899.9620000000068</v>
      </c>
    </row>
    <row r="765" spans="1:8" x14ac:dyDescent="0.2">
      <c r="A765" s="17">
        <v>45625</v>
      </c>
      <c r="B765" s="18"/>
      <c r="C765" s="19" t="s">
        <v>381</v>
      </c>
      <c r="D765" s="30"/>
      <c r="E765" s="18" t="s">
        <v>14</v>
      </c>
      <c r="F765" s="31"/>
      <c r="G765" s="31">
        <v>4</v>
      </c>
      <c r="H765" s="37">
        <f t="shared" ca="1" si="8"/>
        <v>3903.9620000000068</v>
      </c>
    </row>
    <row r="766" spans="1:8" x14ac:dyDescent="0.2">
      <c r="A766" s="17">
        <v>45629</v>
      </c>
      <c r="B766" s="18"/>
      <c r="C766" s="19" t="s">
        <v>52</v>
      </c>
      <c r="D766" s="30"/>
      <c r="E766" s="18" t="s">
        <v>14</v>
      </c>
      <c r="F766" s="31"/>
      <c r="G766" s="31">
        <v>2000.05</v>
      </c>
      <c r="H766" s="37">
        <f t="shared" ca="1" si="8"/>
        <v>5904.012000000007</v>
      </c>
    </row>
    <row r="767" spans="1:8" x14ac:dyDescent="0.2">
      <c r="A767" s="17">
        <v>45634</v>
      </c>
      <c r="B767" s="18"/>
      <c r="C767" s="19" t="s">
        <v>382</v>
      </c>
      <c r="D767" s="30" t="s">
        <v>47</v>
      </c>
      <c r="E767" s="18" t="s">
        <v>14</v>
      </c>
      <c r="F767" s="31">
        <v>5800</v>
      </c>
      <c r="G767" s="31"/>
      <c r="H767" s="37">
        <f t="shared" ca="1" si="8"/>
        <v>104.01200000000699</v>
      </c>
    </row>
    <row r="768" spans="1:8" x14ac:dyDescent="0.2">
      <c r="A768" s="17">
        <v>45629</v>
      </c>
      <c r="B768" s="18"/>
      <c r="C768" s="19" t="s">
        <v>66</v>
      </c>
      <c r="D768" s="30" t="s">
        <v>318</v>
      </c>
      <c r="E768" s="18" t="s">
        <v>14</v>
      </c>
      <c r="F768" s="31"/>
      <c r="G768" s="31">
        <v>59.48</v>
      </c>
      <c r="H768" s="37">
        <f t="shared" ca="1" si="8"/>
        <v>163.49200000000698</v>
      </c>
    </row>
    <row r="769" spans="1:8" x14ac:dyDescent="0.2">
      <c r="A769" s="17">
        <v>45636</v>
      </c>
      <c r="B769" s="18"/>
      <c r="C769" s="19" t="s">
        <v>250</v>
      </c>
      <c r="D769" s="30" t="s">
        <v>32</v>
      </c>
      <c r="E769" s="18" t="s">
        <v>14</v>
      </c>
      <c r="F769" s="31">
        <v>334.93</v>
      </c>
      <c r="G769" s="31"/>
      <c r="H769" s="37">
        <f t="shared" ca="1" si="8"/>
        <v>-171.43799999999302</v>
      </c>
    </row>
    <row r="770" spans="1:8" x14ac:dyDescent="0.2">
      <c r="A770" s="17">
        <v>45639</v>
      </c>
      <c r="B770" s="18"/>
      <c r="C770" s="19" t="s">
        <v>33</v>
      </c>
      <c r="D770" s="30" t="s">
        <v>40</v>
      </c>
      <c r="E770" s="18" t="s">
        <v>14</v>
      </c>
      <c r="F770" s="31"/>
      <c r="G770" s="31">
        <v>3588.83</v>
      </c>
      <c r="H770" s="37">
        <f t="shared" ca="1" si="8"/>
        <v>3417.3920000000071</v>
      </c>
    </row>
    <row r="771" spans="1:8" x14ac:dyDescent="0.2">
      <c r="A771" s="17">
        <v>45639</v>
      </c>
      <c r="B771" s="18"/>
      <c r="C771" s="19" t="s">
        <v>242</v>
      </c>
      <c r="D771" s="30" t="s">
        <v>284</v>
      </c>
      <c r="E771" s="18" t="s">
        <v>14</v>
      </c>
      <c r="F771" s="31">
        <v>77</v>
      </c>
      <c r="G771" s="31"/>
      <c r="H771" s="37">
        <f t="shared" ca="1" si="8"/>
        <v>3340.3920000000071</v>
      </c>
    </row>
    <row r="772" spans="1:8" x14ac:dyDescent="0.2">
      <c r="A772" s="17">
        <v>45636</v>
      </c>
      <c r="B772" s="18"/>
      <c r="C772" s="19" t="s">
        <v>66</v>
      </c>
      <c r="D772" s="30"/>
      <c r="E772" s="18" t="s">
        <v>14</v>
      </c>
      <c r="F772" s="31"/>
      <c r="G772" s="31">
        <v>29.8</v>
      </c>
      <c r="H772" s="37">
        <f t="shared" ca="1" si="8"/>
        <v>3370.1920000000073</v>
      </c>
    </row>
    <row r="773" spans="1:8" x14ac:dyDescent="0.2">
      <c r="A773" s="17">
        <v>45639</v>
      </c>
      <c r="B773" s="18"/>
      <c r="C773" s="19" t="s">
        <v>356</v>
      </c>
      <c r="D773" s="30" t="s">
        <v>332</v>
      </c>
      <c r="E773" s="18" t="s">
        <v>14</v>
      </c>
      <c r="F773" s="31">
        <v>14.08</v>
      </c>
      <c r="G773" s="31"/>
      <c r="H773" s="37">
        <f t="shared" ca="1" si="8"/>
        <v>3356.1120000000074</v>
      </c>
    </row>
    <row r="774" spans="1:8" x14ac:dyDescent="0.2">
      <c r="A774" s="17">
        <v>45639</v>
      </c>
      <c r="B774" s="18"/>
      <c r="C774" s="19" t="s">
        <v>36</v>
      </c>
      <c r="D774" s="30" t="s">
        <v>323</v>
      </c>
      <c r="E774" s="18" t="s">
        <v>14</v>
      </c>
      <c r="F774" s="31">
        <v>395.76</v>
      </c>
      <c r="G774" s="31"/>
      <c r="H774" s="37">
        <f t="shared" ca="1" si="8"/>
        <v>2960.3520000000071</v>
      </c>
    </row>
    <row r="775" spans="1:8" x14ac:dyDescent="0.2">
      <c r="A775" s="17">
        <v>45639</v>
      </c>
      <c r="B775" s="18"/>
      <c r="C775" s="19" t="s">
        <v>16</v>
      </c>
      <c r="D775" s="30" t="s">
        <v>47</v>
      </c>
      <c r="E775" s="18" t="s">
        <v>14</v>
      </c>
      <c r="F775" s="31">
        <v>289.97000000000003</v>
      </c>
      <c r="G775" s="31"/>
      <c r="H775" s="37">
        <f t="shared" ca="1" si="8"/>
        <v>2670.3820000000069</v>
      </c>
    </row>
    <row r="776" spans="1:8" x14ac:dyDescent="0.2">
      <c r="A776" s="17">
        <v>45639</v>
      </c>
      <c r="B776" s="18"/>
      <c r="C776" s="19" t="s">
        <v>244</v>
      </c>
      <c r="D776" s="30" t="s">
        <v>47</v>
      </c>
      <c r="E776" s="18" t="s">
        <v>14</v>
      </c>
      <c r="F776" s="31">
        <v>29</v>
      </c>
      <c r="G776" s="31"/>
      <c r="H776" s="37">
        <f t="shared" ca="1" si="8"/>
        <v>2641.3820000000069</v>
      </c>
    </row>
    <row r="777" spans="1:8" x14ac:dyDescent="0.2">
      <c r="A777" s="17">
        <v>45639</v>
      </c>
      <c r="B777" s="18"/>
      <c r="C777" s="19" t="s">
        <v>36</v>
      </c>
      <c r="D777" s="30" t="s">
        <v>278</v>
      </c>
      <c r="E777" s="18" t="s">
        <v>14</v>
      </c>
      <c r="F777" s="31">
        <v>397.43</v>
      </c>
      <c r="G777" s="31"/>
      <c r="H777" s="37">
        <f t="shared" ca="1" si="8"/>
        <v>2243.952000000007</v>
      </c>
    </row>
    <row r="778" spans="1:8" x14ac:dyDescent="0.2">
      <c r="A778" s="17">
        <v>45642</v>
      </c>
      <c r="B778" s="18"/>
      <c r="C778" s="19" t="s">
        <v>66</v>
      </c>
      <c r="D778" s="30"/>
      <c r="E778" s="18" t="s">
        <v>14</v>
      </c>
      <c r="F778" s="31"/>
      <c r="G778" s="31">
        <v>47.19</v>
      </c>
      <c r="H778" s="37">
        <f t="shared" ca="1" si="8"/>
        <v>2291.1420000000071</v>
      </c>
    </row>
    <row r="779" spans="1:8" x14ac:dyDescent="0.2">
      <c r="A779" s="17">
        <v>45642</v>
      </c>
      <c r="B779" s="18"/>
      <c r="C779" s="19" t="s">
        <v>66</v>
      </c>
      <c r="D779" s="30"/>
      <c r="E779" s="18" t="s">
        <v>14</v>
      </c>
      <c r="F779" s="31"/>
      <c r="G779" s="31">
        <v>94.38</v>
      </c>
      <c r="H779" s="37">
        <f t="shared" ca="1" si="8"/>
        <v>2385.5220000000072</v>
      </c>
    </row>
    <row r="780" spans="1:8" x14ac:dyDescent="0.2">
      <c r="A780" s="17">
        <v>45645</v>
      </c>
      <c r="B780" s="18"/>
      <c r="C780" s="19" t="s">
        <v>66</v>
      </c>
      <c r="D780" s="30"/>
      <c r="E780" s="18" t="s">
        <v>14</v>
      </c>
      <c r="F780" s="31"/>
      <c r="G780" s="31">
        <v>150</v>
      </c>
      <c r="H780" s="37">
        <f t="shared" ca="1" si="8"/>
        <v>2535.5220000000072</v>
      </c>
    </row>
    <row r="781" spans="1:8" x14ac:dyDescent="0.2">
      <c r="A781" s="17">
        <v>45650</v>
      </c>
      <c r="B781" s="18"/>
      <c r="C781" s="19" t="s">
        <v>66</v>
      </c>
      <c r="D781" s="30" t="s">
        <v>341</v>
      </c>
      <c r="E781" s="18" t="s">
        <v>14</v>
      </c>
      <c r="F781" s="31">
        <v>100</v>
      </c>
      <c r="G781" s="31"/>
      <c r="H781" s="37">
        <f t="shared" ca="1" si="8"/>
        <v>2435.5220000000072</v>
      </c>
    </row>
    <row r="782" spans="1:8" x14ac:dyDescent="0.2">
      <c r="A782" s="17">
        <v>45653</v>
      </c>
      <c r="B782" s="18"/>
      <c r="C782" s="19" t="s">
        <v>33</v>
      </c>
      <c r="D782" s="30" t="s">
        <v>40</v>
      </c>
      <c r="E782" s="18" t="s">
        <v>14</v>
      </c>
      <c r="F782" s="31"/>
      <c r="G782" s="31">
        <v>3588.44</v>
      </c>
      <c r="H782" s="37">
        <f t="shared" ca="1" si="8"/>
        <v>6023.9620000000068</v>
      </c>
    </row>
    <row r="783" spans="1:8" x14ac:dyDescent="0.2">
      <c r="A783" s="17">
        <v>45652</v>
      </c>
      <c r="B783" s="18"/>
      <c r="C783" s="19" t="s">
        <v>27</v>
      </c>
      <c r="D783" s="30" t="s">
        <v>30</v>
      </c>
      <c r="E783" s="18" t="s">
        <v>14</v>
      </c>
      <c r="F783" s="31">
        <v>127.02</v>
      </c>
      <c r="G783" s="31"/>
      <c r="H783" s="37">
        <f t="shared" ca="1" si="8"/>
        <v>5896.9420000000064</v>
      </c>
    </row>
    <row r="784" spans="1:8" x14ac:dyDescent="0.2">
      <c r="A784" s="17">
        <v>45652</v>
      </c>
      <c r="B784" s="18"/>
      <c r="C784" s="19" t="s">
        <v>361</v>
      </c>
      <c r="D784" s="30" t="s">
        <v>38</v>
      </c>
      <c r="E784" s="18" t="s">
        <v>14</v>
      </c>
      <c r="F784" s="31">
        <v>79.989999999999995</v>
      </c>
      <c r="G784" s="31"/>
      <c r="H784" s="37">
        <f t="shared" ca="1" si="8"/>
        <v>5816.9520000000066</v>
      </c>
    </row>
    <row r="785" spans="1:8" x14ac:dyDescent="0.2">
      <c r="A785" s="17">
        <v>45656</v>
      </c>
      <c r="B785" s="18"/>
      <c r="C785" s="19" t="s">
        <v>28</v>
      </c>
      <c r="D785" s="30" t="s">
        <v>55</v>
      </c>
      <c r="E785" s="18" t="s">
        <v>14</v>
      </c>
      <c r="F785" s="31">
        <v>1208.8900000000001</v>
      </c>
      <c r="G785" s="31"/>
      <c r="H785" s="37">
        <f t="shared" ca="1" si="8"/>
        <v>4608.0620000000063</v>
      </c>
    </row>
    <row r="786" spans="1:8" x14ac:dyDescent="0.2">
      <c r="A786" s="17">
        <v>45653</v>
      </c>
      <c r="B786" s="18"/>
      <c r="C786" s="19" t="s">
        <v>33</v>
      </c>
      <c r="D786" s="30" t="s">
        <v>383</v>
      </c>
      <c r="E786" s="18" t="s">
        <v>14</v>
      </c>
      <c r="F786" s="31"/>
      <c r="G786" s="31">
        <v>876.12</v>
      </c>
      <c r="H786" s="37">
        <f t="shared" ca="1" si="8"/>
        <v>5484.1820000000062</v>
      </c>
    </row>
    <row r="787" spans="1:8" x14ac:dyDescent="0.2">
      <c r="A787" s="17">
        <v>45656</v>
      </c>
      <c r="B787" s="18">
        <v>1415</v>
      </c>
      <c r="C787" s="19" t="s">
        <v>348</v>
      </c>
      <c r="D787" s="30" t="s">
        <v>349</v>
      </c>
      <c r="E787" s="18" t="s">
        <v>14</v>
      </c>
      <c r="F787" s="31">
        <v>35</v>
      </c>
      <c r="G787" s="31"/>
      <c r="H787" s="37">
        <f t="shared" ca="1" si="8"/>
        <v>5449.1820000000062</v>
      </c>
    </row>
    <row r="788" spans="1:8" x14ac:dyDescent="0.2">
      <c r="A788" s="17">
        <v>45656</v>
      </c>
      <c r="B788" s="18"/>
      <c r="C788" s="19" t="s">
        <v>66</v>
      </c>
      <c r="D788" s="30"/>
      <c r="E788" s="18" t="s">
        <v>14</v>
      </c>
      <c r="F788" s="31"/>
      <c r="G788" s="31">
        <v>33.770000000000003</v>
      </c>
      <c r="H788" s="37">
        <f t="shared" ca="1" si="8"/>
        <v>5482.9520000000066</v>
      </c>
    </row>
    <row r="789" spans="1:8" x14ac:dyDescent="0.2">
      <c r="A789" s="17">
        <v>45657</v>
      </c>
      <c r="B789" s="18"/>
      <c r="C789" s="19" t="s">
        <v>250</v>
      </c>
      <c r="D789" s="30" t="s">
        <v>32</v>
      </c>
      <c r="E789" s="18" t="s">
        <v>14</v>
      </c>
      <c r="F789" s="31">
        <v>330.66</v>
      </c>
      <c r="G789" s="31"/>
      <c r="H789" s="37">
        <f t="shared" ca="1" si="8"/>
        <v>5152.2920000000067</v>
      </c>
    </row>
    <row r="790" spans="1:8" x14ac:dyDescent="0.2">
      <c r="A790" s="17">
        <v>45658</v>
      </c>
      <c r="B790" s="18"/>
      <c r="C790" s="19" t="s">
        <v>29</v>
      </c>
      <c r="D790" s="30" t="s">
        <v>45</v>
      </c>
      <c r="E790" s="18" t="s">
        <v>14</v>
      </c>
      <c r="F790" s="31">
        <v>244.15</v>
      </c>
      <c r="G790" s="31"/>
      <c r="H790" s="37">
        <f t="shared" ca="1" si="8"/>
        <v>4908.1420000000071</v>
      </c>
    </row>
    <row r="791" spans="1:8" x14ac:dyDescent="0.2">
      <c r="A791" s="17">
        <v>45660</v>
      </c>
      <c r="B791" s="18"/>
      <c r="C791" s="19" t="s">
        <v>66</v>
      </c>
      <c r="D791" s="30" t="s">
        <v>318</v>
      </c>
      <c r="E791" s="18" t="s">
        <v>14</v>
      </c>
      <c r="F791" s="31"/>
      <c r="G791" s="31">
        <v>59.48</v>
      </c>
      <c r="H791" s="37">
        <f t="shared" ca="1" si="8"/>
        <v>4967.6220000000067</v>
      </c>
    </row>
    <row r="792" spans="1:8" x14ac:dyDescent="0.2">
      <c r="A792" s="17">
        <v>45662</v>
      </c>
      <c r="B792" s="18"/>
      <c r="C792" s="19" t="s">
        <v>273</v>
      </c>
      <c r="D792" s="30" t="s">
        <v>52</v>
      </c>
      <c r="E792" s="18" t="s">
        <v>14</v>
      </c>
      <c r="F792" s="31"/>
      <c r="G792" s="31">
        <v>1000.01</v>
      </c>
      <c r="H792" s="37">
        <f t="shared" ca="1" si="8"/>
        <v>5967.6320000000069</v>
      </c>
    </row>
    <row r="793" spans="1:8" x14ac:dyDescent="0.2">
      <c r="A793" s="17">
        <v>45662</v>
      </c>
      <c r="B793" s="18"/>
      <c r="C793" s="19" t="s">
        <v>271</v>
      </c>
      <c r="D793" s="30" t="s">
        <v>47</v>
      </c>
      <c r="E793" s="18" t="s">
        <v>14</v>
      </c>
      <c r="F793" s="31">
        <v>5900</v>
      </c>
      <c r="G793" s="31"/>
      <c r="H793" s="37">
        <f t="shared" ca="1" si="8"/>
        <v>67.632000000006883</v>
      </c>
    </row>
    <row r="794" spans="1:8" x14ac:dyDescent="0.2">
      <c r="A794" s="17">
        <v>45663</v>
      </c>
      <c r="B794" s="18"/>
      <c r="C794" s="19" t="s">
        <v>29</v>
      </c>
      <c r="D794" s="30" t="s">
        <v>384</v>
      </c>
      <c r="E794" s="18" t="s">
        <v>14</v>
      </c>
      <c r="F794" s="31"/>
      <c r="G794" s="31">
        <v>14.81</v>
      </c>
      <c r="H794" s="37">
        <f t="shared" ca="1" si="8"/>
        <v>82.442000000006885</v>
      </c>
    </row>
    <row r="795" spans="1:8" x14ac:dyDescent="0.2">
      <c r="A795" s="17">
        <v>45667</v>
      </c>
      <c r="B795" s="18"/>
      <c r="C795" s="19" t="s">
        <v>33</v>
      </c>
      <c r="D795" s="30" t="s">
        <v>40</v>
      </c>
      <c r="E795" s="18" t="s">
        <v>14</v>
      </c>
      <c r="F795" s="31"/>
      <c r="G795" s="31">
        <v>3599.13</v>
      </c>
      <c r="H795" s="37">
        <f t="shared" ca="1" si="8"/>
        <v>3681.5720000000069</v>
      </c>
    </row>
    <row r="796" spans="1:8" x14ac:dyDescent="0.2">
      <c r="A796" s="17">
        <v>45667</v>
      </c>
      <c r="B796" s="18"/>
      <c r="C796" s="19" t="s">
        <v>242</v>
      </c>
      <c r="D796" s="30" t="s">
        <v>284</v>
      </c>
      <c r="E796" s="18" t="s">
        <v>14</v>
      </c>
      <c r="F796" s="31">
        <v>77</v>
      </c>
      <c r="G796" s="31"/>
      <c r="H796" s="37">
        <f t="shared" ca="1" si="8"/>
        <v>3604.5720000000069</v>
      </c>
    </row>
    <row r="797" spans="1:8" x14ac:dyDescent="0.2">
      <c r="A797" s="17">
        <v>45667</v>
      </c>
      <c r="B797" s="18"/>
      <c r="C797" s="19" t="s">
        <v>46</v>
      </c>
      <c r="D797" s="30" t="s">
        <v>47</v>
      </c>
      <c r="E797" s="18" t="s">
        <v>14</v>
      </c>
      <c r="F797" s="31">
        <v>196.29</v>
      </c>
      <c r="G797" s="31"/>
      <c r="H797" s="37">
        <f t="shared" ca="1" si="8"/>
        <v>3408.282000000007</v>
      </c>
    </row>
    <row r="798" spans="1:8" x14ac:dyDescent="0.2">
      <c r="A798" s="17">
        <v>45667</v>
      </c>
      <c r="B798" s="18"/>
      <c r="C798" s="19" t="s">
        <v>356</v>
      </c>
      <c r="D798" s="30" t="s">
        <v>385</v>
      </c>
      <c r="E798" s="18" t="s">
        <v>14</v>
      </c>
      <c r="F798" s="31">
        <v>7.42</v>
      </c>
      <c r="G798" s="31"/>
      <c r="H798" s="37">
        <f t="shared" ca="1" si="8"/>
        <v>3400.8620000000069</v>
      </c>
    </row>
    <row r="799" spans="1:8" x14ac:dyDescent="0.2">
      <c r="A799" s="17">
        <v>45667</v>
      </c>
      <c r="B799" s="18"/>
      <c r="C799" s="19" t="s">
        <v>356</v>
      </c>
      <c r="D799" s="30" t="s">
        <v>386</v>
      </c>
      <c r="E799" s="18" t="s">
        <v>14</v>
      </c>
      <c r="F799" s="31">
        <v>1.06</v>
      </c>
      <c r="G799" s="31"/>
      <c r="H799" s="37">
        <f t="shared" ca="1" si="8"/>
        <v>3399.802000000007</v>
      </c>
    </row>
    <row r="800" spans="1:8" x14ac:dyDescent="0.2">
      <c r="A800" s="17">
        <v>45667</v>
      </c>
      <c r="B800" s="18"/>
      <c r="C800" s="19" t="s">
        <v>244</v>
      </c>
      <c r="D800" s="30" t="s">
        <v>47</v>
      </c>
      <c r="E800" s="18" t="s">
        <v>14</v>
      </c>
      <c r="F800" s="31">
        <v>100</v>
      </c>
      <c r="G800" s="31"/>
      <c r="H800" s="37">
        <f t="shared" ca="1" si="8"/>
        <v>3299.802000000007</v>
      </c>
    </row>
    <row r="801" spans="1:8" x14ac:dyDescent="0.2">
      <c r="A801" s="17">
        <v>45667</v>
      </c>
      <c r="B801" s="18"/>
      <c r="C801" s="19" t="s">
        <v>36</v>
      </c>
      <c r="D801" s="30" t="s">
        <v>323</v>
      </c>
      <c r="E801" s="18" t="s">
        <v>14</v>
      </c>
      <c r="F801" s="31">
        <v>395.76</v>
      </c>
      <c r="G801" s="31"/>
      <c r="H801" s="37">
        <f t="shared" ca="1" si="8"/>
        <v>2904.0420000000067</v>
      </c>
    </row>
    <row r="802" spans="1:8" x14ac:dyDescent="0.2">
      <c r="A802" s="17">
        <v>45667</v>
      </c>
      <c r="B802" s="18"/>
      <c r="C802" s="19" t="s">
        <v>271</v>
      </c>
      <c r="D802" s="30" t="s">
        <v>47</v>
      </c>
      <c r="E802" s="18" t="s">
        <v>14</v>
      </c>
      <c r="F802" s="31">
        <v>2500</v>
      </c>
      <c r="G802" s="31"/>
      <c r="H802" s="37">
        <f t="shared" ca="1" si="8"/>
        <v>404.04200000000674</v>
      </c>
    </row>
    <row r="803" spans="1:8" x14ac:dyDescent="0.2">
      <c r="A803" s="17">
        <v>45677</v>
      </c>
      <c r="B803" s="18"/>
      <c r="C803" s="19" t="s">
        <v>250</v>
      </c>
      <c r="D803" s="30" t="s">
        <v>32</v>
      </c>
      <c r="E803" s="18" t="s">
        <v>14</v>
      </c>
      <c r="F803" s="31">
        <v>252.2</v>
      </c>
      <c r="G803" s="31"/>
      <c r="H803" s="37">
        <f t="shared" ca="1" si="8"/>
        <v>151.84200000000675</v>
      </c>
    </row>
    <row r="804" spans="1:8" x14ac:dyDescent="0.2">
      <c r="A804" s="17">
        <v>45681</v>
      </c>
      <c r="B804" s="18"/>
      <c r="C804" s="19" t="s">
        <v>33</v>
      </c>
      <c r="D804" s="30" t="s">
        <v>40</v>
      </c>
      <c r="E804" s="18" t="s">
        <v>14</v>
      </c>
      <c r="F804" s="31"/>
      <c r="G804" s="31">
        <v>3599.15</v>
      </c>
      <c r="H804" s="37">
        <f t="shared" ca="1" si="8"/>
        <v>3750.992000000007</v>
      </c>
    </row>
    <row r="805" spans="1:8" x14ac:dyDescent="0.2">
      <c r="A805" s="17">
        <v>45670</v>
      </c>
      <c r="B805" s="18"/>
      <c r="C805" s="19" t="s">
        <v>33</v>
      </c>
      <c r="D805" s="30" t="s">
        <v>321</v>
      </c>
      <c r="E805" s="18" t="s">
        <v>14</v>
      </c>
      <c r="F805" s="31"/>
      <c r="G805" s="31">
        <v>330</v>
      </c>
      <c r="H805" s="37">
        <f t="shared" ca="1" si="8"/>
        <v>4080.992000000007</v>
      </c>
    </row>
    <row r="806" spans="1:8" x14ac:dyDescent="0.2">
      <c r="A806" s="17">
        <v>45681</v>
      </c>
      <c r="B806" s="18"/>
      <c r="C806" s="19" t="s">
        <v>27</v>
      </c>
      <c r="D806" s="30" t="s">
        <v>30</v>
      </c>
      <c r="E806" s="18" t="s">
        <v>14</v>
      </c>
      <c r="F806" s="31">
        <v>120.38</v>
      </c>
      <c r="G806" s="31"/>
      <c r="H806" s="37">
        <f t="shared" ca="1" si="8"/>
        <v>3960.6120000000069</v>
      </c>
    </row>
    <row r="807" spans="1:8" x14ac:dyDescent="0.2">
      <c r="A807" s="17">
        <v>45682</v>
      </c>
      <c r="B807" s="18"/>
      <c r="C807" s="19" t="s">
        <v>33</v>
      </c>
      <c r="D807" s="30" t="s">
        <v>47</v>
      </c>
      <c r="E807" s="18" t="s">
        <v>14</v>
      </c>
      <c r="F807" s="31">
        <v>132.47</v>
      </c>
      <c r="G807" s="31"/>
      <c r="H807" s="37">
        <f t="shared" ca="1" si="8"/>
        <v>3828.1420000000071</v>
      </c>
    </row>
    <row r="808" spans="1:8" x14ac:dyDescent="0.2">
      <c r="A808" s="17">
        <v>45684</v>
      </c>
      <c r="B808" s="18"/>
      <c r="C808" s="19" t="s">
        <v>66</v>
      </c>
      <c r="D808" s="30" t="s">
        <v>387</v>
      </c>
      <c r="E808" s="18" t="s">
        <v>14</v>
      </c>
      <c r="F808" s="31"/>
      <c r="G808" s="31">
        <v>30</v>
      </c>
      <c r="H808" s="37">
        <f t="shared" ca="1" si="8"/>
        <v>3858.1420000000071</v>
      </c>
    </row>
    <row r="809" spans="1:8" x14ac:dyDescent="0.2">
      <c r="A809" s="17">
        <v>45688</v>
      </c>
      <c r="B809" s="18"/>
      <c r="C809" s="19" t="s">
        <v>28</v>
      </c>
      <c r="D809" s="30" t="s">
        <v>55</v>
      </c>
      <c r="E809" s="18" t="s">
        <v>14</v>
      </c>
      <c r="F809" s="31">
        <v>1208.8900000000001</v>
      </c>
      <c r="G809" s="31"/>
      <c r="H809" s="37">
        <f t="shared" ca="1" si="8"/>
        <v>2649.2520000000068</v>
      </c>
    </row>
    <row r="810" spans="1:8" x14ac:dyDescent="0.2">
      <c r="A810" s="17">
        <v>45688</v>
      </c>
      <c r="B810" s="18"/>
      <c r="C810" s="19" t="s">
        <v>29</v>
      </c>
      <c r="D810" s="30" t="s">
        <v>45</v>
      </c>
      <c r="E810" s="18" t="s">
        <v>14</v>
      </c>
      <c r="F810" s="31">
        <v>245.49</v>
      </c>
      <c r="G810" s="31"/>
      <c r="H810" s="37">
        <f t="shared" ca="1" si="8"/>
        <v>2403.762000000007</v>
      </c>
    </row>
    <row r="811" spans="1:8" x14ac:dyDescent="0.2">
      <c r="A811" s="17">
        <v>45690</v>
      </c>
      <c r="B811" s="18"/>
      <c r="C811" s="19" t="s">
        <v>66</v>
      </c>
      <c r="D811" s="30" t="s">
        <v>388</v>
      </c>
      <c r="E811" s="18" t="s">
        <v>14</v>
      </c>
      <c r="F811" s="31"/>
      <c r="G811" s="31">
        <v>50</v>
      </c>
      <c r="H811" s="37">
        <f t="shared" ca="1" si="8"/>
        <v>2453.762000000007</v>
      </c>
    </row>
    <row r="812" spans="1:8" x14ac:dyDescent="0.2">
      <c r="A812" s="17">
        <v>45690</v>
      </c>
      <c r="B812" s="18"/>
      <c r="C812" s="19" t="s">
        <v>66</v>
      </c>
      <c r="D812" s="30" t="s">
        <v>318</v>
      </c>
      <c r="E812" s="18" t="s">
        <v>14</v>
      </c>
      <c r="F812" s="31"/>
      <c r="G812" s="31">
        <v>59.82</v>
      </c>
      <c r="H812" s="37">
        <f t="shared" ca="1" si="8"/>
        <v>2513.5820000000072</v>
      </c>
    </row>
    <row r="813" spans="1:8" x14ac:dyDescent="0.2">
      <c r="A813" s="17">
        <v>45692</v>
      </c>
      <c r="B813" s="18"/>
      <c r="C813" s="19" t="s">
        <v>250</v>
      </c>
      <c r="D813" s="30" t="s">
        <v>32</v>
      </c>
      <c r="E813" s="18" t="s">
        <v>14</v>
      </c>
      <c r="F813" s="31">
        <v>292.23</v>
      </c>
      <c r="G813" s="31"/>
      <c r="H813" s="37">
        <f t="shared" ca="1" si="8"/>
        <v>2221.3520000000071</v>
      </c>
    </row>
    <row r="814" spans="1:8" x14ac:dyDescent="0.2">
      <c r="A814" s="17">
        <v>45695</v>
      </c>
      <c r="B814" s="18"/>
      <c r="C814" s="19" t="s">
        <v>33</v>
      </c>
      <c r="D814" s="30" t="s">
        <v>40</v>
      </c>
      <c r="E814" s="18" t="s">
        <v>14</v>
      </c>
      <c r="F814" s="31"/>
      <c r="G814" s="31">
        <v>3553.47</v>
      </c>
      <c r="H814" s="37">
        <f t="shared" ca="1" si="8"/>
        <v>5774.8220000000074</v>
      </c>
    </row>
    <row r="815" spans="1:8" x14ac:dyDescent="0.2">
      <c r="A815" s="17">
        <v>45691</v>
      </c>
      <c r="B815" s="18"/>
      <c r="C815" s="19" t="s">
        <v>33</v>
      </c>
      <c r="D815" s="30" t="s">
        <v>274</v>
      </c>
      <c r="E815" s="18" t="s">
        <v>14</v>
      </c>
      <c r="F815" s="31"/>
      <c r="G815" s="31">
        <v>1.06</v>
      </c>
      <c r="H815" s="37">
        <f t="shared" ref="H815:H878" ca="1" si="9">IF(AND(ISBLANK(F815),ISBLANK(G815)),"",OFFSET(H815,-1,0,1,1)+G815-F815)</f>
        <v>5775.8820000000078</v>
      </c>
    </row>
    <row r="816" spans="1:8" x14ac:dyDescent="0.2">
      <c r="A816" s="17">
        <v>45695</v>
      </c>
      <c r="B816" s="18"/>
      <c r="C816" s="19" t="s">
        <v>271</v>
      </c>
      <c r="D816" s="30" t="s">
        <v>47</v>
      </c>
      <c r="E816" s="18" t="s">
        <v>14</v>
      </c>
      <c r="F816" s="31">
        <v>3783.97</v>
      </c>
      <c r="G816" s="31"/>
      <c r="H816" s="37">
        <f t="shared" ca="1" si="9"/>
        <v>1991.912000000008</v>
      </c>
    </row>
    <row r="817" spans="1:8" x14ac:dyDescent="0.2">
      <c r="A817" s="17">
        <v>45695</v>
      </c>
      <c r="B817" s="18"/>
      <c r="C817" s="19" t="s">
        <v>242</v>
      </c>
      <c r="D817" s="30" t="s">
        <v>284</v>
      </c>
      <c r="E817" s="18" t="s">
        <v>14</v>
      </c>
      <c r="F817" s="31">
        <v>77</v>
      </c>
      <c r="G817" s="31"/>
      <c r="H817" s="37">
        <f t="shared" ca="1" si="9"/>
        <v>1914.912000000008</v>
      </c>
    </row>
    <row r="818" spans="1:8" x14ac:dyDescent="0.2">
      <c r="A818" s="17">
        <v>45695</v>
      </c>
      <c r="B818" s="18"/>
      <c r="C818" s="19" t="s">
        <v>36</v>
      </c>
      <c r="D818" s="30" t="s">
        <v>389</v>
      </c>
      <c r="E818" s="18" t="s">
        <v>14</v>
      </c>
      <c r="F818" s="31">
        <v>479</v>
      </c>
      <c r="G818" s="31"/>
      <c r="H818" s="37">
        <f t="shared" ca="1" si="9"/>
        <v>1435.912000000008</v>
      </c>
    </row>
    <row r="819" spans="1:8" x14ac:dyDescent="0.2">
      <c r="A819" s="17">
        <v>45695</v>
      </c>
      <c r="B819" s="18"/>
      <c r="C819" s="19" t="s">
        <v>36</v>
      </c>
      <c r="D819" s="30" t="s">
        <v>323</v>
      </c>
      <c r="E819" s="18" t="s">
        <v>14</v>
      </c>
      <c r="F819" s="31">
        <v>395.76</v>
      </c>
      <c r="G819" s="31"/>
      <c r="H819" s="37">
        <f t="shared" ca="1" si="9"/>
        <v>1040.152000000008</v>
      </c>
    </row>
    <row r="820" spans="1:8" x14ac:dyDescent="0.2">
      <c r="A820" s="17">
        <v>45695</v>
      </c>
      <c r="B820" s="18"/>
      <c r="C820" s="19" t="s">
        <v>16</v>
      </c>
      <c r="D820" s="30" t="s">
        <v>47</v>
      </c>
      <c r="E820" s="18" t="s">
        <v>14</v>
      </c>
      <c r="F820" s="31">
        <v>128.4</v>
      </c>
      <c r="G820" s="31"/>
      <c r="H820" s="37">
        <f t="shared" ca="1" si="9"/>
        <v>911.75200000000802</v>
      </c>
    </row>
    <row r="821" spans="1:8" x14ac:dyDescent="0.2">
      <c r="A821" s="17">
        <v>45695</v>
      </c>
      <c r="B821" s="18"/>
      <c r="C821" s="19" t="s">
        <v>244</v>
      </c>
      <c r="D821" s="30" t="s">
        <v>47</v>
      </c>
      <c r="E821" s="18" t="s">
        <v>14</v>
      </c>
      <c r="F821" s="31">
        <v>100</v>
      </c>
      <c r="G821" s="31"/>
      <c r="H821" s="37">
        <f t="shared" ca="1" si="9"/>
        <v>811.75200000000802</v>
      </c>
    </row>
    <row r="822" spans="1:8" x14ac:dyDescent="0.2">
      <c r="A822" s="17">
        <v>45700</v>
      </c>
      <c r="B822" s="18">
        <v>1416</v>
      </c>
      <c r="C822" s="19" t="s">
        <v>390</v>
      </c>
      <c r="D822" s="30"/>
      <c r="E822" s="18" t="s">
        <v>14</v>
      </c>
      <c r="F822" s="31">
        <v>198</v>
      </c>
      <c r="G822" s="31"/>
      <c r="H822" s="37">
        <f t="shared" ca="1" si="9"/>
        <v>613.75200000000802</v>
      </c>
    </row>
    <row r="823" spans="1:8" x14ac:dyDescent="0.2">
      <c r="A823" s="17">
        <v>45706</v>
      </c>
      <c r="B823" s="18"/>
      <c r="C823" s="19" t="s">
        <v>33</v>
      </c>
      <c r="D823" s="30" t="s">
        <v>34</v>
      </c>
      <c r="E823" s="18" t="s">
        <v>14</v>
      </c>
      <c r="F823" s="31">
        <v>104</v>
      </c>
      <c r="G823" s="31"/>
      <c r="H823" s="37">
        <f t="shared" ca="1" si="9"/>
        <v>509.75200000000802</v>
      </c>
    </row>
    <row r="824" spans="1:8" x14ac:dyDescent="0.2">
      <c r="A824" s="17">
        <v>45707</v>
      </c>
      <c r="B824" s="18"/>
      <c r="C824" s="19" t="s">
        <v>33</v>
      </c>
      <c r="D824" s="30" t="s">
        <v>61</v>
      </c>
      <c r="E824" s="18" t="s">
        <v>14</v>
      </c>
      <c r="F824" s="31"/>
      <c r="G824" s="31">
        <v>1528</v>
      </c>
      <c r="H824" s="37">
        <f t="shared" ca="1" si="9"/>
        <v>2037.7520000000081</v>
      </c>
    </row>
    <row r="825" spans="1:8" x14ac:dyDescent="0.2">
      <c r="A825" s="17">
        <v>45707</v>
      </c>
      <c r="B825" s="18"/>
      <c r="C825" s="19" t="s">
        <v>33</v>
      </c>
      <c r="D825" s="30" t="s">
        <v>56</v>
      </c>
      <c r="E825" s="18" t="s">
        <v>14</v>
      </c>
      <c r="F825" s="31">
        <v>6.25</v>
      </c>
      <c r="G825" s="31"/>
      <c r="H825" s="37">
        <f t="shared" ca="1" si="9"/>
        <v>2031.5020000000081</v>
      </c>
    </row>
    <row r="826" spans="1:8" x14ac:dyDescent="0.2">
      <c r="A826" s="17">
        <v>45709</v>
      </c>
      <c r="B826" s="18"/>
      <c r="C826" s="19" t="s">
        <v>33</v>
      </c>
      <c r="D826" s="30" t="s">
        <v>40</v>
      </c>
      <c r="E826" s="18" t="s">
        <v>14</v>
      </c>
      <c r="F826" s="31"/>
      <c r="G826" s="31">
        <v>3553.46</v>
      </c>
      <c r="H826" s="37">
        <f t="shared" ca="1" si="9"/>
        <v>5584.9620000000086</v>
      </c>
    </row>
    <row r="827" spans="1:8" x14ac:dyDescent="0.2">
      <c r="A827" s="17">
        <v>45709</v>
      </c>
      <c r="B827" s="18"/>
      <c r="C827" s="19" t="s">
        <v>356</v>
      </c>
      <c r="D827" s="30" t="s">
        <v>47</v>
      </c>
      <c r="E827" s="18" t="s">
        <v>14</v>
      </c>
      <c r="F827" s="31">
        <v>840.21</v>
      </c>
      <c r="G827" s="31"/>
      <c r="H827" s="37">
        <f t="shared" ca="1" si="9"/>
        <v>4744.7520000000086</v>
      </c>
    </row>
    <row r="828" spans="1:8" x14ac:dyDescent="0.2">
      <c r="A828" s="17">
        <v>45709</v>
      </c>
      <c r="B828" s="18"/>
      <c r="C828" s="19" t="s">
        <v>58</v>
      </c>
      <c r="D828" s="30" t="s">
        <v>30</v>
      </c>
      <c r="E828" s="18" t="s">
        <v>14</v>
      </c>
      <c r="F828" s="31">
        <v>99.92</v>
      </c>
      <c r="G828" s="31"/>
      <c r="H828" s="37">
        <f t="shared" ca="1" si="9"/>
        <v>4644.8320000000085</v>
      </c>
    </row>
    <row r="829" spans="1:8" x14ac:dyDescent="0.2">
      <c r="A829" s="17">
        <v>45709</v>
      </c>
      <c r="B829" s="18"/>
      <c r="C829" s="19" t="s">
        <v>28</v>
      </c>
      <c r="D829" s="30" t="s">
        <v>55</v>
      </c>
      <c r="E829" s="18" t="s">
        <v>14</v>
      </c>
      <c r="F829" s="31">
        <v>1208.8900000000001</v>
      </c>
      <c r="G829" s="31"/>
      <c r="H829" s="37">
        <f t="shared" ca="1" si="9"/>
        <v>3435.9420000000082</v>
      </c>
    </row>
    <row r="830" spans="1:8" x14ac:dyDescent="0.2">
      <c r="A830" s="17">
        <v>45709</v>
      </c>
      <c r="B830" s="18"/>
      <c r="C830" s="19" t="s">
        <v>33</v>
      </c>
      <c r="D830" s="30" t="s">
        <v>345</v>
      </c>
      <c r="E830" s="18" t="s">
        <v>14</v>
      </c>
      <c r="F830" s="31"/>
      <c r="G830" s="31">
        <v>592</v>
      </c>
      <c r="H830" s="37">
        <f t="shared" ca="1" si="9"/>
        <v>4027.9420000000082</v>
      </c>
    </row>
    <row r="831" spans="1:8" x14ac:dyDescent="0.2">
      <c r="A831" s="17">
        <v>45712</v>
      </c>
      <c r="B831" s="18"/>
      <c r="C831" s="19" t="s">
        <v>29</v>
      </c>
      <c r="D831" s="30" t="s">
        <v>45</v>
      </c>
      <c r="E831" s="18" t="s">
        <v>14</v>
      </c>
      <c r="F831" s="31">
        <v>245.16</v>
      </c>
      <c r="G831" s="31"/>
      <c r="H831" s="37">
        <f t="shared" ca="1" si="9"/>
        <v>3782.7820000000083</v>
      </c>
    </row>
    <row r="832" spans="1:8" x14ac:dyDescent="0.2">
      <c r="A832" s="17">
        <v>45712</v>
      </c>
      <c r="B832" s="18"/>
      <c r="C832" s="19" t="s">
        <v>66</v>
      </c>
      <c r="D832" s="30" t="s">
        <v>318</v>
      </c>
      <c r="E832" s="18" t="s">
        <v>14</v>
      </c>
      <c r="F832" s="31"/>
      <c r="G832" s="31">
        <v>59.41</v>
      </c>
      <c r="H832" s="37">
        <f t="shared" ca="1" si="9"/>
        <v>3842.1920000000082</v>
      </c>
    </row>
    <row r="833" spans="1:8" x14ac:dyDescent="0.2">
      <c r="A833" s="17">
        <v>45718</v>
      </c>
      <c r="B833" s="18"/>
      <c r="C833" s="19" t="s">
        <v>298</v>
      </c>
      <c r="D833" s="30" t="s">
        <v>32</v>
      </c>
      <c r="E833" s="18" t="s">
        <v>14</v>
      </c>
      <c r="F833" s="31">
        <v>281.82</v>
      </c>
      <c r="G833" s="31"/>
      <c r="H833" s="37">
        <f t="shared" ca="1" si="9"/>
        <v>3560.372000000008</v>
      </c>
    </row>
    <row r="834" spans="1:8" x14ac:dyDescent="0.2">
      <c r="A834" s="17">
        <v>45719</v>
      </c>
      <c r="B834" s="18"/>
      <c r="C834" s="19" t="s">
        <v>381</v>
      </c>
      <c r="D834" s="30"/>
      <c r="E834" s="18" t="s">
        <v>14</v>
      </c>
      <c r="F834" s="31"/>
      <c r="G834" s="31">
        <v>4</v>
      </c>
      <c r="H834" s="37">
        <f t="shared" ca="1" si="9"/>
        <v>3564.372000000008</v>
      </c>
    </row>
    <row r="835" spans="1:8" x14ac:dyDescent="0.2">
      <c r="A835" s="17">
        <v>45723</v>
      </c>
      <c r="B835" s="18"/>
      <c r="C835" s="19" t="s">
        <v>33</v>
      </c>
      <c r="D835" s="30" t="s">
        <v>40</v>
      </c>
      <c r="E835" s="18" t="s">
        <v>14</v>
      </c>
      <c r="F835" s="31"/>
      <c r="G835" s="31">
        <v>3781.79</v>
      </c>
      <c r="H835" s="37">
        <f t="shared" ca="1" si="9"/>
        <v>7346.1620000000075</v>
      </c>
    </row>
    <row r="836" spans="1:8" x14ac:dyDescent="0.2">
      <c r="A836" s="17">
        <v>45723</v>
      </c>
      <c r="B836" s="18"/>
      <c r="C836" s="19" t="s">
        <v>46</v>
      </c>
      <c r="D836" s="30" t="s">
        <v>47</v>
      </c>
      <c r="E836" s="18" t="s">
        <v>14</v>
      </c>
      <c r="F836" s="31">
        <v>159.79</v>
      </c>
      <c r="G836" s="31"/>
      <c r="H836" s="37">
        <f t="shared" ca="1" si="9"/>
        <v>7186.3720000000076</v>
      </c>
    </row>
    <row r="837" spans="1:8" x14ac:dyDescent="0.2">
      <c r="A837" s="17">
        <v>45723</v>
      </c>
      <c r="B837" s="18"/>
      <c r="C837" s="19" t="s">
        <v>244</v>
      </c>
      <c r="D837" s="30" t="s">
        <v>47</v>
      </c>
      <c r="E837" s="18" t="s">
        <v>14</v>
      </c>
      <c r="F837" s="31">
        <v>100</v>
      </c>
      <c r="G837" s="31"/>
      <c r="H837" s="37">
        <f t="shared" ca="1" si="9"/>
        <v>7086.3720000000076</v>
      </c>
    </row>
    <row r="838" spans="1:8" x14ac:dyDescent="0.2">
      <c r="A838" s="17">
        <v>45723</v>
      </c>
      <c r="B838" s="18"/>
      <c r="C838" s="19" t="s">
        <v>242</v>
      </c>
      <c r="D838" s="30" t="s">
        <v>284</v>
      </c>
      <c r="E838" s="18" t="s">
        <v>14</v>
      </c>
      <c r="F838" s="31">
        <v>126</v>
      </c>
      <c r="G838" s="31"/>
      <c r="H838" s="37">
        <f t="shared" ca="1" si="9"/>
        <v>6960.3720000000076</v>
      </c>
    </row>
    <row r="839" spans="1:8" x14ac:dyDescent="0.2">
      <c r="A839" s="17">
        <v>45723</v>
      </c>
      <c r="B839" s="18"/>
      <c r="C839" s="19" t="s">
        <v>36</v>
      </c>
      <c r="D839" s="30" t="s">
        <v>323</v>
      </c>
      <c r="E839" s="18" t="s">
        <v>14</v>
      </c>
      <c r="F839" s="31">
        <v>395.76</v>
      </c>
      <c r="G839" s="31"/>
      <c r="H839" s="37">
        <f t="shared" ca="1" si="9"/>
        <v>6564.6120000000074</v>
      </c>
    </row>
    <row r="840" spans="1:8" x14ac:dyDescent="0.2">
      <c r="A840" s="17">
        <v>45723</v>
      </c>
      <c r="B840" s="18"/>
      <c r="C840" s="19" t="s">
        <v>271</v>
      </c>
      <c r="D840" s="30" t="s">
        <v>47</v>
      </c>
      <c r="E840" s="18" t="s">
        <v>14</v>
      </c>
      <c r="F840" s="31">
        <v>6863.65</v>
      </c>
      <c r="G840" s="31"/>
      <c r="H840" s="37">
        <f t="shared" ca="1" si="9"/>
        <v>-299.03799999999228</v>
      </c>
    </row>
    <row r="841" spans="1:8" x14ac:dyDescent="0.2">
      <c r="A841" s="17">
        <v>45723</v>
      </c>
      <c r="B841" s="18"/>
      <c r="C841" s="19" t="s">
        <v>52</v>
      </c>
      <c r="D841" s="30"/>
      <c r="E841" s="18" t="s">
        <v>14</v>
      </c>
      <c r="F841" s="31"/>
      <c r="G841" s="31">
        <v>400</v>
      </c>
      <c r="H841" s="37">
        <f t="shared" ca="1" si="9"/>
        <v>100.96200000000772</v>
      </c>
    </row>
    <row r="842" spans="1:8" x14ac:dyDescent="0.2">
      <c r="A842" s="17">
        <v>45737</v>
      </c>
      <c r="B842" s="18"/>
      <c r="C842" s="19" t="s">
        <v>273</v>
      </c>
      <c r="D842" s="30" t="s">
        <v>40</v>
      </c>
      <c r="E842" s="18" t="s">
        <v>14</v>
      </c>
      <c r="F842" s="31"/>
      <c r="G842" s="31">
        <v>3781.78</v>
      </c>
      <c r="H842" s="37">
        <f t="shared" ca="1" si="9"/>
        <v>3882.7420000000079</v>
      </c>
    </row>
    <row r="843" spans="1:8" x14ac:dyDescent="0.2">
      <c r="A843" s="17">
        <v>45735</v>
      </c>
      <c r="B843" s="18"/>
      <c r="C843" s="19" t="s">
        <v>356</v>
      </c>
      <c r="D843" s="30" t="s">
        <v>391</v>
      </c>
      <c r="E843" s="18" t="s">
        <v>14</v>
      </c>
      <c r="F843" s="31">
        <v>4.26</v>
      </c>
      <c r="G843" s="31"/>
      <c r="H843" s="37">
        <f t="shared" ca="1" si="9"/>
        <v>3878.4820000000077</v>
      </c>
    </row>
    <row r="844" spans="1:8" x14ac:dyDescent="0.2">
      <c r="A844" s="17">
        <v>45736</v>
      </c>
      <c r="B844" s="18"/>
      <c r="C844" s="19" t="s">
        <v>33</v>
      </c>
      <c r="D844" s="30" t="s">
        <v>34</v>
      </c>
      <c r="E844" s="18" t="s">
        <v>14</v>
      </c>
      <c r="F844" s="31">
        <v>154</v>
      </c>
      <c r="G844" s="31"/>
      <c r="H844" s="37">
        <f t="shared" ca="1" si="9"/>
        <v>3724.4820000000077</v>
      </c>
    </row>
    <row r="845" spans="1:8" x14ac:dyDescent="0.2">
      <c r="A845" s="17">
        <v>45737</v>
      </c>
      <c r="B845" s="18"/>
      <c r="C845" s="19" t="s">
        <v>36</v>
      </c>
      <c r="D845" s="30" t="s">
        <v>389</v>
      </c>
      <c r="E845" s="18" t="s">
        <v>14</v>
      </c>
      <c r="F845" s="31">
        <v>479</v>
      </c>
      <c r="G845" s="31"/>
      <c r="H845" s="37">
        <f t="shared" ca="1" si="9"/>
        <v>3245.4820000000077</v>
      </c>
    </row>
    <row r="846" spans="1:8" x14ac:dyDescent="0.2">
      <c r="A846" s="17">
        <v>45737</v>
      </c>
      <c r="B846" s="18"/>
      <c r="C846" s="19" t="s">
        <v>27</v>
      </c>
      <c r="D846" s="30" t="s">
        <v>30</v>
      </c>
      <c r="E846" s="18" t="s">
        <v>14</v>
      </c>
      <c r="F846" s="31">
        <v>106.31</v>
      </c>
      <c r="G846" s="31"/>
      <c r="H846" s="37">
        <f t="shared" ca="1" si="9"/>
        <v>3139.1720000000078</v>
      </c>
    </row>
    <row r="847" spans="1:8" x14ac:dyDescent="0.2">
      <c r="A847" s="17">
        <v>45737</v>
      </c>
      <c r="B847" s="18"/>
      <c r="C847" s="19" t="s">
        <v>66</v>
      </c>
      <c r="D847" s="30" t="s">
        <v>367</v>
      </c>
      <c r="E847" s="18" t="s">
        <v>14</v>
      </c>
      <c r="F847" s="31">
        <v>20</v>
      </c>
      <c r="G847" s="31"/>
      <c r="H847" s="37">
        <f t="shared" ca="1" si="9"/>
        <v>3119.1720000000078</v>
      </c>
    </row>
    <row r="848" spans="1:8" x14ac:dyDescent="0.2">
      <c r="A848" s="17">
        <v>45739</v>
      </c>
      <c r="B848" s="18"/>
      <c r="C848" s="19" t="s">
        <v>33</v>
      </c>
      <c r="D848" s="30" t="s">
        <v>34</v>
      </c>
      <c r="E848" s="18" t="s">
        <v>14</v>
      </c>
      <c r="F848" s="31">
        <v>200</v>
      </c>
      <c r="G848" s="31"/>
      <c r="H848" s="37">
        <f t="shared" ca="1" si="9"/>
        <v>2919.1720000000078</v>
      </c>
    </row>
    <row r="849" spans="1:8" x14ac:dyDescent="0.2">
      <c r="A849" s="17">
        <v>45745</v>
      </c>
      <c r="B849" s="18"/>
      <c r="C849" s="19" t="s">
        <v>33</v>
      </c>
      <c r="D849" s="30" t="s">
        <v>392</v>
      </c>
      <c r="E849" s="18" t="s">
        <v>14</v>
      </c>
      <c r="F849" s="31"/>
      <c r="G849" s="31">
        <v>330.51</v>
      </c>
      <c r="H849" s="37">
        <f t="shared" ca="1" si="9"/>
        <v>3249.682000000008</v>
      </c>
    </row>
    <row r="850" spans="1:8" x14ac:dyDescent="0.2">
      <c r="A850" s="17">
        <v>45746</v>
      </c>
      <c r="B850" s="18"/>
      <c r="C850" s="19" t="s">
        <v>29</v>
      </c>
      <c r="D850" s="30" t="s">
        <v>45</v>
      </c>
      <c r="E850" s="18" t="s">
        <v>14</v>
      </c>
      <c r="F850" s="31">
        <v>260.38</v>
      </c>
      <c r="G850" s="31"/>
      <c r="H850" s="37">
        <f t="shared" ca="1" si="9"/>
        <v>2989.3020000000079</v>
      </c>
    </row>
    <row r="851" spans="1:8" x14ac:dyDescent="0.2">
      <c r="A851" s="17">
        <v>45746</v>
      </c>
      <c r="B851" s="18"/>
      <c r="C851" s="19" t="s">
        <v>28</v>
      </c>
      <c r="D851" s="30" t="s">
        <v>55</v>
      </c>
      <c r="E851" s="18" t="s">
        <v>14</v>
      </c>
      <c r="F851" s="31">
        <v>1208.8900000000001</v>
      </c>
      <c r="G851" s="31"/>
      <c r="H851" s="37">
        <f t="shared" ca="1" si="9"/>
        <v>1780.4120000000078</v>
      </c>
    </row>
    <row r="852" spans="1:8" x14ac:dyDescent="0.2">
      <c r="A852" s="17">
        <v>45746</v>
      </c>
      <c r="B852" s="18"/>
      <c r="C852" s="19" t="s">
        <v>66</v>
      </c>
      <c r="D852" s="30" t="s">
        <v>318</v>
      </c>
      <c r="E852" s="18" t="s">
        <v>14</v>
      </c>
      <c r="F852" s="31"/>
      <c r="G852" s="31">
        <v>62.47</v>
      </c>
      <c r="H852" s="37">
        <f t="shared" ca="1" si="9"/>
        <v>1842.8820000000078</v>
      </c>
    </row>
    <row r="853" spans="1:8" x14ac:dyDescent="0.2">
      <c r="A853" s="17">
        <v>45751</v>
      </c>
      <c r="B853" s="18"/>
      <c r="C853" s="19" t="s">
        <v>33</v>
      </c>
      <c r="D853" s="30" t="s">
        <v>40</v>
      </c>
      <c r="E853" s="18" t="s">
        <v>14</v>
      </c>
      <c r="F853" s="31"/>
      <c r="G853" s="31">
        <v>3781.79</v>
      </c>
      <c r="H853" s="37">
        <f t="shared" ca="1" si="9"/>
        <v>5624.6720000000078</v>
      </c>
    </row>
    <row r="854" spans="1:8" x14ac:dyDescent="0.2">
      <c r="A854" s="17">
        <v>45751</v>
      </c>
      <c r="B854" s="18"/>
      <c r="C854" s="19" t="s">
        <v>244</v>
      </c>
      <c r="D854" s="30" t="s">
        <v>47</v>
      </c>
      <c r="E854" s="18" t="s">
        <v>14</v>
      </c>
      <c r="F854" s="31">
        <v>85.74</v>
      </c>
      <c r="G854" s="31"/>
      <c r="H854" s="37">
        <f t="shared" ca="1" si="9"/>
        <v>5538.932000000008</v>
      </c>
    </row>
    <row r="855" spans="1:8" x14ac:dyDescent="0.2">
      <c r="A855" s="17">
        <v>45751</v>
      </c>
      <c r="B855" s="18"/>
      <c r="C855" s="19" t="s">
        <v>16</v>
      </c>
      <c r="D855" s="30" t="s">
        <v>47</v>
      </c>
      <c r="E855" s="18" t="s">
        <v>14</v>
      </c>
      <c r="F855" s="31">
        <v>80.02</v>
      </c>
      <c r="G855" s="31"/>
      <c r="H855" s="37">
        <f t="shared" ca="1" si="9"/>
        <v>5458.9120000000075</v>
      </c>
    </row>
    <row r="856" spans="1:8" x14ac:dyDescent="0.2">
      <c r="A856" s="17">
        <v>45751</v>
      </c>
      <c r="B856" s="18"/>
      <c r="C856" s="19" t="s">
        <v>242</v>
      </c>
      <c r="D856" s="30" t="s">
        <v>284</v>
      </c>
      <c r="E856" s="18" t="s">
        <v>14</v>
      </c>
      <c r="F856" s="31">
        <v>126</v>
      </c>
      <c r="G856" s="31"/>
      <c r="H856" s="37">
        <f t="shared" ca="1" si="9"/>
        <v>5332.9120000000075</v>
      </c>
    </row>
    <row r="857" spans="1:8" x14ac:dyDescent="0.2">
      <c r="A857" s="17">
        <v>45751</v>
      </c>
      <c r="B857" s="18"/>
      <c r="C857" s="19" t="s">
        <v>36</v>
      </c>
      <c r="D857" s="30" t="s">
        <v>323</v>
      </c>
      <c r="E857" s="18" t="s">
        <v>14</v>
      </c>
      <c r="F857" s="31">
        <v>395.76</v>
      </c>
      <c r="G857" s="31"/>
      <c r="H857" s="37">
        <f t="shared" ca="1" si="9"/>
        <v>4937.1520000000073</v>
      </c>
    </row>
    <row r="858" spans="1:8" x14ac:dyDescent="0.2">
      <c r="A858" s="17">
        <v>45751</v>
      </c>
      <c r="B858" s="18"/>
      <c r="C858" s="19" t="s">
        <v>271</v>
      </c>
      <c r="D858" s="30" t="s">
        <v>47</v>
      </c>
      <c r="E858" s="18" t="s">
        <v>14</v>
      </c>
      <c r="F858" s="31">
        <v>4339.54</v>
      </c>
      <c r="G858" s="31"/>
      <c r="H858" s="37">
        <f t="shared" ca="1" si="9"/>
        <v>597.61200000000736</v>
      </c>
    </row>
    <row r="859" spans="1:8" x14ac:dyDescent="0.2">
      <c r="A859" s="17">
        <v>45751</v>
      </c>
      <c r="B859" s="18"/>
      <c r="C859" s="19" t="s">
        <v>33</v>
      </c>
      <c r="D859" s="30" t="s">
        <v>245</v>
      </c>
      <c r="E859" s="18" t="s">
        <v>14</v>
      </c>
      <c r="F859" s="31"/>
      <c r="G859" s="31">
        <v>4</v>
      </c>
      <c r="H859" s="37">
        <f t="shared" ca="1" si="9"/>
        <v>601.61200000000736</v>
      </c>
    </row>
    <row r="860" spans="1:8" x14ac:dyDescent="0.2">
      <c r="A860" s="17">
        <v>45755</v>
      </c>
      <c r="B860" s="18"/>
      <c r="C860" s="19" t="s">
        <v>250</v>
      </c>
      <c r="D860" s="30" t="s">
        <v>32</v>
      </c>
      <c r="E860" s="18" t="s">
        <v>14</v>
      </c>
      <c r="F860" s="31">
        <v>308.24</v>
      </c>
      <c r="G860" s="31"/>
      <c r="H860" s="37">
        <f t="shared" ca="1" si="9"/>
        <v>293.37200000000735</v>
      </c>
    </row>
    <row r="861" spans="1:8" x14ac:dyDescent="0.2">
      <c r="A861" s="17">
        <v>45755</v>
      </c>
      <c r="B861" s="18"/>
      <c r="C861" s="19" t="s">
        <v>66</v>
      </c>
      <c r="D861" s="30" t="s">
        <v>393</v>
      </c>
      <c r="E861" s="18" t="s">
        <v>14</v>
      </c>
      <c r="F861" s="31"/>
      <c r="G861" s="31">
        <v>45</v>
      </c>
      <c r="H861" s="37">
        <f t="shared" ca="1" si="9"/>
        <v>338.37200000000735</v>
      </c>
    </row>
    <row r="862" spans="1:8" x14ac:dyDescent="0.2">
      <c r="A862" s="17">
        <v>45761</v>
      </c>
      <c r="B862" s="18"/>
      <c r="C862" s="19" t="s">
        <v>66</v>
      </c>
      <c r="D862" s="30" t="s">
        <v>394</v>
      </c>
      <c r="E862" s="18" t="s">
        <v>14</v>
      </c>
      <c r="F862" s="31"/>
      <c r="G862" s="31">
        <v>686.33</v>
      </c>
      <c r="H862" s="37">
        <f t="shared" ca="1" si="9"/>
        <v>1024.7020000000075</v>
      </c>
    </row>
    <row r="863" spans="1:8" x14ac:dyDescent="0.2">
      <c r="A863" s="17">
        <v>45761</v>
      </c>
      <c r="B863" s="18"/>
      <c r="C863" s="19" t="s">
        <v>66</v>
      </c>
      <c r="D863" s="30" t="s">
        <v>395</v>
      </c>
      <c r="E863" s="18" t="s">
        <v>14</v>
      </c>
      <c r="F863" s="31">
        <v>100</v>
      </c>
      <c r="G863" s="31"/>
      <c r="H863" s="37">
        <f t="shared" ca="1" si="9"/>
        <v>924.7020000000075</v>
      </c>
    </row>
    <row r="864" spans="1:8" x14ac:dyDescent="0.2">
      <c r="A864" s="17">
        <v>45762</v>
      </c>
      <c r="B864" s="18"/>
      <c r="C864" s="19" t="s">
        <v>33</v>
      </c>
      <c r="D864" s="30" t="s">
        <v>34</v>
      </c>
      <c r="E864" s="18" t="s">
        <v>14</v>
      </c>
      <c r="F864" s="31">
        <v>154</v>
      </c>
      <c r="G864" s="31"/>
      <c r="H864" s="37">
        <f t="shared" ca="1" si="9"/>
        <v>770.7020000000075</v>
      </c>
    </row>
    <row r="865" spans="1:8" x14ac:dyDescent="0.2">
      <c r="A865" s="17">
        <v>45765</v>
      </c>
      <c r="B865" s="18"/>
      <c r="C865" s="19" t="s">
        <v>33</v>
      </c>
      <c r="D865" s="30" t="s">
        <v>40</v>
      </c>
      <c r="E865" s="18" t="s">
        <v>14</v>
      </c>
      <c r="F865" s="31"/>
      <c r="G865" s="31">
        <v>3781.79</v>
      </c>
      <c r="H865" s="37">
        <f t="shared" ca="1" si="9"/>
        <v>4552.4920000000075</v>
      </c>
    </row>
    <row r="866" spans="1:8" x14ac:dyDescent="0.2">
      <c r="A866" s="17">
        <v>45765</v>
      </c>
      <c r="B866" s="18"/>
      <c r="C866" s="19" t="s">
        <v>36</v>
      </c>
      <c r="D866" s="30" t="s">
        <v>389</v>
      </c>
      <c r="E866" s="18" t="s">
        <v>14</v>
      </c>
      <c r="F866" s="31">
        <v>479</v>
      </c>
      <c r="G866" s="31"/>
      <c r="H866" s="37">
        <f t="shared" ca="1" si="9"/>
        <v>4073.4920000000075</v>
      </c>
    </row>
    <row r="867" spans="1:8" x14ac:dyDescent="0.2">
      <c r="A867" s="17">
        <v>45765</v>
      </c>
      <c r="B867" s="18"/>
      <c r="C867" s="19" t="s">
        <v>58</v>
      </c>
      <c r="D867" s="30" t="s">
        <v>30</v>
      </c>
      <c r="E867" s="18" t="s">
        <v>14</v>
      </c>
      <c r="F867" s="31">
        <v>108.38</v>
      </c>
      <c r="G867" s="31"/>
      <c r="H867" s="37">
        <f t="shared" ca="1" si="9"/>
        <v>3965.1120000000074</v>
      </c>
    </row>
    <row r="868" spans="1:8" x14ac:dyDescent="0.2">
      <c r="A868" s="17">
        <v>45774</v>
      </c>
      <c r="B868" s="18"/>
      <c r="C868" s="19" t="s">
        <v>298</v>
      </c>
      <c r="D868" s="30" t="s">
        <v>32</v>
      </c>
      <c r="E868" s="18" t="s">
        <v>14</v>
      </c>
      <c r="F868" s="31">
        <v>108.35</v>
      </c>
      <c r="G868" s="31"/>
      <c r="H868" s="37">
        <f t="shared" ca="1" si="9"/>
        <v>3856.7620000000074</v>
      </c>
    </row>
    <row r="869" spans="1:8" x14ac:dyDescent="0.2">
      <c r="A869" s="17">
        <v>45775</v>
      </c>
      <c r="B869" s="18"/>
      <c r="C869" s="19" t="s">
        <v>29</v>
      </c>
      <c r="D869" s="30" t="s">
        <v>45</v>
      </c>
      <c r="E869" s="18" t="s">
        <v>14</v>
      </c>
      <c r="F869" s="31">
        <v>259.95</v>
      </c>
      <c r="G869" s="31"/>
      <c r="H869" s="37">
        <f t="shared" ca="1" si="9"/>
        <v>3596.8120000000076</v>
      </c>
    </row>
    <row r="870" spans="1:8" x14ac:dyDescent="0.2">
      <c r="A870" s="17">
        <v>45769</v>
      </c>
      <c r="B870" s="18"/>
      <c r="C870" s="19" t="s">
        <v>66</v>
      </c>
      <c r="D870" s="30"/>
      <c r="E870" s="18" t="s">
        <v>14</v>
      </c>
      <c r="F870" s="31"/>
      <c r="G870" s="31">
        <v>45</v>
      </c>
      <c r="H870" s="37">
        <f t="shared" ca="1" si="9"/>
        <v>3641.8120000000076</v>
      </c>
    </row>
    <row r="871" spans="1:8" x14ac:dyDescent="0.2">
      <c r="A871" s="17">
        <v>45775</v>
      </c>
      <c r="B871" s="18"/>
      <c r="C871" s="19" t="s">
        <v>396</v>
      </c>
      <c r="D871" s="30" t="s">
        <v>397</v>
      </c>
      <c r="E871" s="18" t="s">
        <v>14</v>
      </c>
      <c r="F871" s="31">
        <v>178.59</v>
      </c>
      <c r="G871" s="31"/>
      <c r="H871" s="37">
        <f t="shared" ca="1" si="9"/>
        <v>3463.2220000000075</v>
      </c>
    </row>
    <row r="872" spans="1:8" x14ac:dyDescent="0.2">
      <c r="A872" s="17">
        <v>45775</v>
      </c>
      <c r="B872" s="18"/>
      <c r="C872" s="19" t="s">
        <v>356</v>
      </c>
      <c r="D872" s="30" t="s">
        <v>385</v>
      </c>
      <c r="E872" s="18" t="s">
        <v>14</v>
      </c>
      <c r="F872" s="31">
        <v>4.26</v>
      </c>
      <c r="G872" s="31"/>
      <c r="H872" s="37">
        <f t="shared" ca="1" si="9"/>
        <v>3458.9620000000073</v>
      </c>
    </row>
    <row r="873" spans="1:8" x14ac:dyDescent="0.2">
      <c r="A873" s="17">
        <v>45779</v>
      </c>
      <c r="B873" s="18"/>
      <c r="C873" s="19" t="s">
        <v>33</v>
      </c>
      <c r="D873" s="30" t="s">
        <v>40</v>
      </c>
      <c r="E873" s="18" t="s">
        <v>14</v>
      </c>
      <c r="F873" s="31"/>
      <c r="G873" s="31">
        <v>3781.78</v>
      </c>
      <c r="H873" s="37">
        <f t="shared" ca="1" si="9"/>
        <v>7240.7420000000075</v>
      </c>
    </row>
    <row r="874" spans="1:8" x14ac:dyDescent="0.2">
      <c r="A874" s="17">
        <v>45777</v>
      </c>
      <c r="B874" s="18"/>
      <c r="C874" s="19" t="s">
        <v>33</v>
      </c>
      <c r="D874" s="30" t="s">
        <v>245</v>
      </c>
      <c r="E874" s="18" t="s">
        <v>14</v>
      </c>
      <c r="F874" s="31"/>
      <c r="G874" s="31">
        <v>4</v>
      </c>
      <c r="H874" s="37">
        <f t="shared" ca="1" si="9"/>
        <v>7244.7420000000075</v>
      </c>
    </row>
    <row r="875" spans="1:8" x14ac:dyDescent="0.2">
      <c r="A875" s="17">
        <v>45776</v>
      </c>
      <c r="B875" s="18"/>
      <c r="C875" s="19" t="s">
        <v>66</v>
      </c>
      <c r="D875" s="30" t="s">
        <v>318</v>
      </c>
      <c r="E875" s="18" t="s">
        <v>14</v>
      </c>
      <c r="F875" s="31"/>
      <c r="G875" s="31">
        <v>62.08</v>
      </c>
      <c r="H875" s="37">
        <f t="shared" ca="1" si="9"/>
        <v>7306.8220000000074</v>
      </c>
    </row>
    <row r="876" spans="1:8" x14ac:dyDescent="0.2">
      <c r="A876" s="17">
        <v>45779</v>
      </c>
      <c r="B876" s="18"/>
      <c r="C876" s="19" t="s">
        <v>28</v>
      </c>
      <c r="D876" s="30" t="s">
        <v>55</v>
      </c>
      <c r="E876" s="18" t="s">
        <v>14</v>
      </c>
      <c r="F876" s="31">
        <v>1208.8900000000001</v>
      </c>
      <c r="G876" s="31"/>
      <c r="H876" s="37">
        <f t="shared" ca="1" si="9"/>
        <v>6097.9320000000071</v>
      </c>
    </row>
    <row r="877" spans="1:8" x14ac:dyDescent="0.2">
      <c r="A877" s="17">
        <v>45780</v>
      </c>
      <c r="B877" s="18">
        <v>1417</v>
      </c>
      <c r="C877" s="19" t="s">
        <v>398</v>
      </c>
      <c r="D877" s="30" t="s">
        <v>399</v>
      </c>
      <c r="E877" s="18" t="s">
        <v>14</v>
      </c>
      <c r="F877" s="31">
        <v>2000</v>
      </c>
      <c r="G877" s="31"/>
      <c r="H877" s="37">
        <f t="shared" ca="1" si="9"/>
        <v>4097.9320000000071</v>
      </c>
    </row>
    <row r="878" spans="1:8" x14ac:dyDescent="0.2">
      <c r="A878" s="17">
        <v>45781</v>
      </c>
      <c r="B878" s="18"/>
      <c r="C878" s="19" t="s">
        <v>320</v>
      </c>
      <c r="D878" s="30" t="s">
        <v>47</v>
      </c>
      <c r="E878" s="18" t="s">
        <v>14</v>
      </c>
      <c r="F878" s="31">
        <v>3.98</v>
      </c>
      <c r="G878" s="31"/>
      <c r="H878" s="37">
        <f t="shared" ca="1" si="9"/>
        <v>4093.952000000007</v>
      </c>
    </row>
    <row r="879" spans="1:8" x14ac:dyDescent="0.2">
      <c r="A879" s="17">
        <v>45782</v>
      </c>
      <c r="B879" s="18"/>
      <c r="C879" s="19" t="s">
        <v>298</v>
      </c>
      <c r="D879" s="30" t="s">
        <v>32</v>
      </c>
      <c r="E879" s="18" t="s">
        <v>14</v>
      </c>
      <c r="F879" s="31">
        <v>357.88</v>
      </c>
      <c r="G879" s="31"/>
      <c r="H879" s="37">
        <f t="shared" ref="H879:H942" ca="1" si="10">IF(AND(ISBLANK(F879),ISBLANK(G879)),"",OFFSET(H879,-1,0,1,1)+G879-F879)</f>
        <v>3736.0720000000069</v>
      </c>
    </row>
    <row r="880" spans="1:8" x14ac:dyDescent="0.2">
      <c r="A880" s="17">
        <v>45783</v>
      </c>
      <c r="B880" s="18"/>
      <c r="C880" s="19" t="s">
        <v>242</v>
      </c>
      <c r="D880" s="30" t="s">
        <v>284</v>
      </c>
      <c r="E880" s="18" t="s">
        <v>14</v>
      </c>
      <c r="F880" s="31">
        <v>126</v>
      </c>
      <c r="G880" s="31"/>
      <c r="H880" s="37">
        <f t="shared" ca="1" si="10"/>
        <v>3610.0720000000069</v>
      </c>
    </row>
    <row r="881" spans="1:8" x14ac:dyDescent="0.2">
      <c r="A881" s="17">
        <v>45783</v>
      </c>
      <c r="B881" s="18"/>
      <c r="C881" s="19" t="s">
        <v>271</v>
      </c>
      <c r="D881" s="30" t="s">
        <v>47</v>
      </c>
      <c r="E881" s="18" t="s">
        <v>14</v>
      </c>
      <c r="F881" s="31">
        <v>3439.71</v>
      </c>
      <c r="G881" s="31"/>
      <c r="H881" s="37">
        <f t="shared" ca="1" si="10"/>
        <v>170.3620000000069</v>
      </c>
    </row>
    <row r="882" spans="1:8" x14ac:dyDescent="0.2">
      <c r="A882" s="17">
        <v>45783</v>
      </c>
      <c r="B882" s="18"/>
      <c r="C882" s="19" t="s">
        <v>356</v>
      </c>
      <c r="D882" s="30" t="s">
        <v>385</v>
      </c>
      <c r="E882" s="18" t="s">
        <v>14</v>
      </c>
      <c r="F882" s="31">
        <v>4.26</v>
      </c>
      <c r="G882" s="31"/>
      <c r="H882" s="37">
        <f t="shared" ca="1" si="10"/>
        <v>166.10200000000691</v>
      </c>
    </row>
    <row r="883" spans="1:8" x14ac:dyDescent="0.2">
      <c r="A883" s="17">
        <v>45785</v>
      </c>
      <c r="B883" s="18">
        <v>1418</v>
      </c>
      <c r="C883" s="19" t="s">
        <v>348</v>
      </c>
      <c r="D883" s="30" t="s">
        <v>349</v>
      </c>
      <c r="E883" s="18" t="s">
        <v>14</v>
      </c>
      <c r="F883" s="31">
        <v>30</v>
      </c>
      <c r="G883" s="31"/>
      <c r="H883" s="37">
        <f t="shared" ca="1" si="10"/>
        <v>136.10200000000691</v>
      </c>
    </row>
    <row r="884" spans="1:8" x14ac:dyDescent="0.2">
      <c r="A884" s="17">
        <v>45793</v>
      </c>
      <c r="B884" s="18"/>
      <c r="C884" s="19" t="s">
        <v>33</v>
      </c>
      <c r="D884" s="30" t="s">
        <v>40</v>
      </c>
      <c r="E884" s="18" t="s">
        <v>14</v>
      </c>
      <c r="F884" s="31"/>
      <c r="G884" s="31">
        <v>3781.79</v>
      </c>
      <c r="H884" s="37">
        <f t="shared" ca="1" si="10"/>
        <v>3917.8920000000071</v>
      </c>
    </row>
    <row r="885" spans="1:8" x14ac:dyDescent="0.2">
      <c r="A885" s="17">
        <v>45793</v>
      </c>
      <c r="B885" s="18"/>
      <c r="C885" s="19" t="s">
        <v>36</v>
      </c>
      <c r="D885" s="30" t="s">
        <v>323</v>
      </c>
      <c r="E885" s="18" t="s">
        <v>14</v>
      </c>
      <c r="F885" s="31">
        <v>395.76</v>
      </c>
      <c r="G885" s="31"/>
      <c r="H885" s="37">
        <f t="shared" ca="1" si="10"/>
        <v>3522.1320000000069</v>
      </c>
    </row>
    <row r="886" spans="1:8" x14ac:dyDescent="0.2">
      <c r="A886" s="17">
        <v>45793</v>
      </c>
      <c r="B886" s="18"/>
      <c r="C886" s="19" t="s">
        <v>400</v>
      </c>
      <c r="D886" s="30" t="s">
        <v>401</v>
      </c>
      <c r="E886" s="18" t="s">
        <v>14</v>
      </c>
      <c r="F886" s="31">
        <v>0</v>
      </c>
      <c r="G886" s="31"/>
      <c r="H886" s="37">
        <f t="shared" ca="1" si="10"/>
        <v>3522.1320000000069</v>
      </c>
    </row>
    <row r="887" spans="1:8" x14ac:dyDescent="0.2">
      <c r="A887" s="17">
        <v>45793</v>
      </c>
      <c r="B887" s="18"/>
      <c r="C887" s="19" t="s">
        <v>16</v>
      </c>
      <c r="D887" s="30" t="s">
        <v>47</v>
      </c>
      <c r="E887" s="18" t="s">
        <v>14</v>
      </c>
      <c r="F887" s="31">
        <v>207.72</v>
      </c>
      <c r="G887" s="31"/>
      <c r="H887" s="37">
        <f t="shared" ca="1" si="10"/>
        <v>3314.4120000000071</v>
      </c>
    </row>
    <row r="888" spans="1:8" x14ac:dyDescent="0.2">
      <c r="A888" s="17">
        <v>45793</v>
      </c>
      <c r="B888" s="18"/>
      <c r="C888" s="19" t="s">
        <v>36</v>
      </c>
      <c r="D888" s="30" t="s">
        <v>389</v>
      </c>
      <c r="E888" s="18" t="s">
        <v>14</v>
      </c>
      <c r="F888" s="31">
        <v>479</v>
      </c>
      <c r="G888" s="31"/>
      <c r="H888" s="37">
        <f t="shared" ca="1" si="10"/>
        <v>2835.4120000000071</v>
      </c>
    </row>
    <row r="889" spans="1:8" x14ac:dyDescent="0.2">
      <c r="A889" s="17">
        <v>45793</v>
      </c>
      <c r="B889" s="18"/>
      <c r="C889" s="19" t="s">
        <v>244</v>
      </c>
      <c r="D889" s="30" t="s">
        <v>47</v>
      </c>
      <c r="E889" s="18" t="s">
        <v>14</v>
      </c>
      <c r="F889" s="31">
        <v>100</v>
      </c>
      <c r="G889" s="31"/>
      <c r="H889" s="37">
        <f t="shared" ca="1" si="10"/>
        <v>2735.4120000000071</v>
      </c>
    </row>
    <row r="890" spans="1:8" x14ac:dyDescent="0.2">
      <c r="A890" s="17">
        <v>45804</v>
      </c>
      <c r="B890" s="18"/>
      <c r="C890" s="19" t="s">
        <v>33</v>
      </c>
      <c r="D890" s="30" t="s">
        <v>66</v>
      </c>
      <c r="E890" s="18" t="s">
        <v>14</v>
      </c>
      <c r="F890" s="31">
        <v>10</v>
      </c>
      <c r="G890" s="31"/>
      <c r="H890" s="37">
        <f t="shared" ca="1" si="10"/>
        <v>2725.4120000000071</v>
      </c>
    </row>
    <row r="891" spans="1:8" x14ac:dyDescent="0.2">
      <c r="A891" s="17">
        <v>45804</v>
      </c>
      <c r="B891" s="18"/>
      <c r="C891" s="19" t="s">
        <v>58</v>
      </c>
      <c r="D891" s="30" t="s">
        <v>30</v>
      </c>
      <c r="E891" s="18" t="s">
        <v>14</v>
      </c>
      <c r="F891" s="31">
        <v>138.47999999999999</v>
      </c>
      <c r="G891" s="31"/>
      <c r="H891" s="37">
        <f t="shared" ca="1" si="10"/>
        <v>2586.9320000000071</v>
      </c>
    </row>
    <row r="892" spans="1:8" x14ac:dyDescent="0.2">
      <c r="A892" s="17">
        <v>45805</v>
      </c>
      <c r="B892" s="18"/>
      <c r="C892" s="19" t="s">
        <v>250</v>
      </c>
      <c r="D892" s="30" t="s">
        <v>32</v>
      </c>
      <c r="E892" s="18" t="s">
        <v>14</v>
      </c>
      <c r="F892" s="31">
        <v>148.12</v>
      </c>
      <c r="G892" s="31"/>
      <c r="H892" s="37">
        <f t="shared" ca="1" si="10"/>
        <v>2438.8120000000072</v>
      </c>
    </row>
    <row r="893" spans="1:8" x14ac:dyDescent="0.2">
      <c r="A893" s="17">
        <v>45807</v>
      </c>
      <c r="B893" s="18"/>
      <c r="C893" s="19" t="s">
        <v>33</v>
      </c>
      <c r="D893" s="30" t="s">
        <v>40</v>
      </c>
      <c r="E893" s="18" t="s">
        <v>14</v>
      </c>
      <c r="F893" s="31"/>
      <c r="G893" s="31">
        <v>4011.94</v>
      </c>
      <c r="H893" s="37">
        <f t="shared" ca="1" si="10"/>
        <v>6450.7520000000077</v>
      </c>
    </row>
    <row r="894" spans="1:8" x14ac:dyDescent="0.2">
      <c r="A894" s="17">
        <v>45807</v>
      </c>
      <c r="B894" s="18"/>
      <c r="C894" s="19" t="s">
        <v>28</v>
      </c>
      <c r="D894" s="30" t="s">
        <v>55</v>
      </c>
      <c r="E894" s="18" t="s">
        <v>14</v>
      </c>
      <c r="F894" s="31">
        <v>1108.8900000000001</v>
      </c>
      <c r="G894" s="31"/>
      <c r="H894" s="37">
        <f t="shared" ca="1" si="10"/>
        <v>5341.8620000000074</v>
      </c>
    </row>
    <row r="895" spans="1:8" x14ac:dyDescent="0.2">
      <c r="A895" s="17">
        <v>45807</v>
      </c>
      <c r="B895" s="18"/>
      <c r="C895" s="19" t="s">
        <v>29</v>
      </c>
      <c r="D895" s="30" t="s">
        <v>45</v>
      </c>
      <c r="E895" s="18" t="s">
        <v>14</v>
      </c>
      <c r="F895" s="31">
        <v>248.84</v>
      </c>
      <c r="G895" s="31"/>
      <c r="H895" s="37">
        <f t="shared" ca="1" si="10"/>
        <v>5093.0220000000072</v>
      </c>
    </row>
    <row r="896" spans="1:8" x14ac:dyDescent="0.2">
      <c r="A896" s="17">
        <v>45807</v>
      </c>
      <c r="B896" s="18"/>
      <c r="C896" s="19" t="s">
        <v>66</v>
      </c>
      <c r="D896" s="30" t="s">
        <v>318</v>
      </c>
      <c r="E896" s="18" t="s">
        <v>14</v>
      </c>
      <c r="F896" s="31"/>
      <c r="G896" s="31">
        <v>62.08</v>
      </c>
      <c r="H896" s="37">
        <f t="shared" ca="1" si="10"/>
        <v>5155.1020000000071</v>
      </c>
    </row>
    <row r="897" spans="1:8" x14ac:dyDescent="0.2">
      <c r="A897" s="17">
        <v>45814</v>
      </c>
      <c r="B897" s="18"/>
      <c r="C897" s="19" t="s">
        <v>271</v>
      </c>
      <c r="D897" s="30" t="s">
        <v>47</v>
      </c>
      <c r="E897" s="18" t="s">
        <v>14</v>
      </c>
      <c r="F897" s="31">
        <v>3600.66</v>
      </c>
      <c r="G897" s="31"/>
      <c r="H897" s="37">
        <f t="shared" ca="1" si="10"/>
        <v>1554.4420000000073</v>
      </c>
    </row>
    <row r="898" spans="1:8" x14ac:dyDescent="0.2">
      <c r="A898" s="17">
        <v>45821</v>
      </c>
      <c r="B898" s="18"/>
      <c r="C898" s="19" t="s">
        <v>33</v>
      </c>
      <c r="D898" s="30" t="s">
        <v>40</v>
      </c>
      <c r="E898" s="18" t="s">
        <v>14</v>
      </c>
      <c r="F898" s="31"/>
      <c r="G898" s="31">
        <v>6254.19</v>
      </c>
      <c r="H898" s="37">
        <f t="shared" ca="1" si="10"/>
        <v>7808.6320000000069</v>
      </c>
    </row>
    <row r="899" spans="1:8" x14ac:dyDescent="0.2">
      <c r="A899" s="17">
        <v>45821</v>
      </c>
      <c r="B899" s="18"/>
      <c r="C899" s="19" t="s">
        <v>36</v>
      </c>
      <c r="D899" s="30" t="s">
        <v>323</v>
      </c>
      <c r="E899" s="18" t="s">
        <v>14</v>
      </c>
      <c r="F899" s="31">
        <v>395.76</v>
      </c>
      <c r="G899" s="31"/>
      <c r="H899" s="37">
        <f t="shared" ca="1" si="10"/>
        <v>7412.8720000000067</v>
      </c>
    </row>
    <row r="900" spans="1:8" x14ac:dyDescent="0.2">
      <c r="A900" s="17">
        <v>45821</v>
      </c>
      <c r="B900" s="18"/>
      <c r="C900" s="19" t="s">
        <v>242</v>
      </c>
      <c r="D900" s="30" t="s">
        <v>284</v>
      </c>
      <c r="E900" s="18" t="s">
        <v>14</v>
      </c>
      <c r="F900" s="31">
        <v>126</v>
      </c>
      <c r="G900" s="31"/>
      <c r="H900" s="37">
        <f t="shared" ca="1" si="10"/>
        <v>7286.8720000000067</v>
      </c>
    </row>
    <row r="901" spans="1:8" x14ac:dyDescent="0.2">
      <c r="A901" s="17">
        <v>45821</v>
      </c>
      <c r="B901" s="18"/>
      <c r="C901" s="19" t="s">
        <v>16</v>
      </c>
      <c r="D901" s="30" t="s">
        <v>47</v>
      </c>
      <c r="E901" s="18" t="s">
        <v>14</v>
      </c>
      <c r="F901" s="31">
        <v>249.71</v>
      </c>
      <c r="G901" s="31"/>
      <c r="H901" s="37">
        <f t="shared" ca="1" si="10"/>
        <v>7037.1620000000066</v>
      </c>
    </row>
    <row r="902" spans="1:8" x14ac:dyDescent="0.2">
      <c r="A902" s="17">
        <v>45821</v>
      </c>
      <c r="B902" s="18"/>
      <c r="C902" s="19" t="s">
        <v>356</v>
      </c>
      <c r="D902" s="30" t="s">
        <v>386</v>
      </c>
      <c r="E902" s="18" t="s">
        <v>14</v>
      </c>
      <c r="F902" s="31">
        <v>128.25</v>
      </c>
      <c r="G902" s="31"/>
      <c r="H902" s="37">
        <f t="shared" ca="1" si="10"/>
        <v>6908.9120000000066</v>
      </c>
    </row>
    <row r="903" spans="1:8" x14ac:dyDescent="0.2">
      <c r="A903" s="17">
        <v>45821</v>
      </c>
      <c r="B903" s="18"/>
      <c r="C903" s="19" t="s">
        <v>356</v>
      </c>
      <c r="D903" s="30" t="s">
        <v>385</v>
      </c>
      <c r="E903" s="18" t="s">
        <v>14</v>
      </c>
      <c r="F903" s="31">
        <v>4.26</v>
      </c>
      <c r="G903" s="31"/>
      <c r="H903" s="37">
        <f t="shared" ca="1" si="10"/>
        <v>6904.6520000000064</v>
      </c>
    </row>
    <row r="904" spans="1:8" x14ac:dyDescent="0.2">
      <c r="A904" s="17">
        <v>45821</v>
      </c>
      <c r="B904" s="18"/>
      <c r="C904" s="19" t="s">
        <v>244</v>
      </c>
      <c r="D904" s="30" t="s">
        <v>47</v>
      </c>
      <c r="E904" s="18" t="s">
        <v>14</v>
      </c>
      <c r="F904" s="31">
        <v>300</v>
      </c>
      <c r="G904" s="31"/>
      <c r="H904" s="37">
        <f t="shared" ca="1" si="10"/>
        <v>6604.6520000000064</v>
      </c>
    </row>
    <row r="905" spans="1:8" x14ac:dyDescent="0.2">
      <c r="A905" s="17">
        <v>45821</v>
      </c>
      <c r="B905" s="18"/>
      <c r="C905" s="19" t="s">
        <v>36</v>
      </c>
      <c r="D905" s="30" t="s">
        <v>389</v>
      </c>
      <c r="E905" s="18" t="s">
        <v>14</v>
      </c>
      <c r="F905" s="31">
        <v>479</v>
      </c>
      <c r="G905" s="31"/>
      <c r="H905" s="37">
        <f t="shared" ca="1" si="10"/>
        <v>6125.6520000000064</v>
      </c>
    </row>
    <row r="906" spans="1:8" x14ac:dyDescent="0.2">
      <c r="A906" s="17">
        <v>45821</v>
      </c>
      <c r="B906" s="18"/>
      <c r="C906" s="19" t="s">
        <v>58</v>
      </c>
      <c r="D906" s="30" t="s">
        <v>30</v>
      </c>
      <c r="E906" s="18" t="s">
        <v>14</v>
      </c>
      <c r="F906" s="31">
        <v>196.56</v>
      </c>
      <c r="G906" s="31"/>
      <c r="H906" s="37">
        <f t="shared" ca="1" si="10"/>
        <v>5929.092000000006</v>
      </c>
    </row>
    <row r="907" spans="1:8" x14ac:dyDescent="0.2">
      <c r="A907" s="17">
        <v>45825</v>
      </c>
      <c r="B907" s="18"/>
      <c r="C907" s="19" t="s">
        <v>250</v>
      </c>
      <c r="D907" s="30" t="s">
        <v>32</v>
      </c>
      <c r="E907" s="18" t="s">
        <v>14</v>
      </c>
      <c r="F907" s="31">
        <v>176.14</v>
      </c>
      <c r="G907" s="31"/>
      <c r="H907" s="37">
        <f t="shared" ca="1" si="10"/>
        <v>5752.9520000000057</v>
      </c>
    </row>
    <row r="908" spans="1:8" x14ac:dyDescent="0.2">
      <c r="A908" s="17">
        <v>45824</v>
      </c>
      <c r="B908" s="18"/>
      <c r="C908" s="19" t="s">
        <v>66</v>
      </c>
      <c r="D908" s="30"/>
      <c r="E908" s="18" t="s">
        <v>14</v>
      </c>
      <c r="F908" s="31"/>
      <c r="G908" s="31">
        <v>25</v>
      </c>
      <c r="H908" s="37">
        <f t="shared" ca="1" si="10"/>
        <v>5777.9520000000057</v>
      </c>
    </row>
    <row r="909" spans="1:8" x14ac:dyDescent="0.2">
      <c r="A909" s="17">
        <v>45824</v>
      </c>
      <c r="B909" s="18"/>
      <c r="C909" s="19" t="s">
        <v>66</v>
      </c>
      <c r="D909" s="30" t="s">
        <v>312</v>
      </c>
      <c r="E909" s="18" t="s">
        <v>14</v>
      </c>
      <c r="F909" s="31"/>
      <c r="G909" s="31">
        <v>200</v>
      </c>
      <c r="H909" s="37">
        <f t="shared" ca="1" si="10"/>
        <v>5977.9520000000057</v>
      </c>
    </row>
    <row r="910" spans="1:8" x14ac:dyDescent="0.2">
      <c r="A910" s="17">
        <v>45824</v>
      </c>
      <c r="B910" s="18"/>
      <c r="C910" s="19" t="s">
        <v>66</v>
      </c>
      <c r="D910" s="30" t="s">
        <v>312</v>
      </c>
      <c r="E910" s="18" t="s">
        <v>14</v>
      </c>
      <c r="F910" s="31">
        <v>200</v>
      </c>
      <c r="G910" s="31"/>
      <c r="H910" s="37">
        <f t="shared" ca="1" si="10"/>
        <v>5777.9520000000057</v>
      </c>
    </row>
    <row r="911" spans="1:8" x14ac:dyDescent="0.2">
      <c r="A911" s="17">
        <v>45831</v>
      </c>
      <c r="B911" s="18"/>
      <c r="C911" s="19" t="s">
        <v>402</v>
      </c>
      <c r="D911" s="30" t="s">
        <v>38</v>
      </c>
      <c r="E911" s="18" t="s">
        <v>14</v>
      </c>
      <c r="F911" s="31">
        <v>69.989999999999995</v>
      </c>
      <c r="G911" s="31"/>
      <c r="H911" s="37">
        <f t="shared" ca="1" si="10"/>
        <v>5707.9620000000059</v>
      </c>
    </row>
    <row r="912" spans="1:8" x14ac:dyDescent="0.2">
      <c r="A912" s="17">
        <v>45835</v>
      </c>
      <c r="B912" s="18"/>
      <c r="C912" s="19" t="s">
        <v>33</v>
      </c>
      <c r="D912" s="30" t="s">
        <v>40</v>
      </c>
      <c r="E912" s="18" t="s">
        <v>14</v>
      </c>
      <c r="F912" s="31"/>
      <c r="G912" s="31">
        <v>4285.91</v>
      </c>
      <c r="H912" s="37">
        <f t="shared" ca="1" si="10"/>
        <v>9993.8720000000067</v>
      </c>
    </row>
    <row r="913" spans="1:8" x14ac:dyDescent="0.2">
      <c r="A913" s="17">
        <v>45835</v>
      </c>
      <c r="B913" s="18"/>
      <c r="C913" s="19" t="s">
        <v>28</v>
      </c>
      <c r="D913" s="30" t="s">
        <v>55</v>
      </c>
      <c r="E913" s="18" t="s">
        <v>14</v>
      </c>
      <c r="F913" s="31">
        <v>1208.8900000000001</v>
      </c>
      <c r="G913" s="31"/>
      <c r="H913" s="37">
        <f t="shared" ca="1" si="10"/>
        <v>8784.9820000000072</v>
      </c>
    </row>
    <row r="914" spans="1:8" x14ac:dyDescent="0.2">
      <c r="A914" s="17">
        <v>45835</v>
      </c>
      <c r="B914" s="18"/>
      <c r="C914" s="19" t="s">
        <v>29</v>
      </c>
      <c r="D914" s="30" t="s">
        <v>45</v>
      </c>
      <c r="E914" s="18" t="s">
        <v>14</v>
      </c>
      <c r="F914" s="31">
        <v>243.28</v>
      </c>
      <c r="G914" s="31"/>
      <c r="H914" s="37">
        <f t="shared" ca="1" si="10"/>
        <v>8541.7020000000066</v>
      </c>
    </row>
    <row r="915" spans="1:8" x14ac:dyDescent="0.2">
      <c r="A915" s="17">
        <v>45835</v>
      </c>
      <c r="B915" s="18"/>
      <c r="C915" s="19" t="s">
        <v>33</v>
      </c>
      <c r="D915" s="30" t="s">
        <v>403</v>
      </c>
      <c r="E915" s="18" t="s">
        <v>14</v>
      </c>
      <c r="F915" s="31">
        <v>124</v>
      </c>
      <c r="G915" s="31"/>
      <c r="H915" s="37">
        <f t="shared" ca="1" si="10"/>
        <v>8417.7020000000066</v>
      </c>
    </row>
    <row r="916" spans="1:8" x14ac:dyDescent="0.2">
      <c r="A916" s="17">
        <v>45841</v>
      </c>
      <c r="B916" s="18"/>
      <c r="C916" s="19" t="s">
        <v>271</v>
      </c>
      <c r="D916" s="30" t="s">
        <v>47</v>
      </c>
      <c r="E916" s="18" t="s">
        <v>14</v>
      </c>
      <c r="F916" s="31">
        <v>3764.76</v>
      </c>
      <c r="G916" s="31"/>
      <c r="H916" s="37">
        <f t="shared" ca="1" si="10"/>
        <v>4652.9420000000064</v>
      </c>
    </row>
    <row r="917" spans="1:8" x14ac:dyDescent="0.2">
      <c r="A917" s="17">
        <v>45838</v>
      </c>
      <c r="B917" s="18"/>
      <c r="C917" s="19" t="s">
        <v>33</v>
      </c>
      <c r="D917" s="30" t="s">
        <v>245</v>
      </c>
      <c r="E917" s="18" t="s">
        <v>14</v>
      </c>
      <c r="F917" s="31"/>
      <c r="G917" s="31">
        <v>4</v>
      </c>
      <c r="H917" s="37">
        <f t="shared" ca="1" si="10"/>
        <v>4656.9420000000064</v>
      </c>
    </row>
    <row r="918" spans="1:8" x14ac:dyDescent="0.2">
      <c r="A918" s="17">
        <v>45838</v>
      </c>
      <c r="B918" s="18"/>
      <c r="C918" s="19" t="s">
        <v>66</v>
      </c>
      <c r="D918" s="30" t="s">
        <v>318</v>
      </c>
      <c r="E918" s="18" t="s">
        <v>14</v>
      </c>
      <c r="F918" s="31"/>
      <c r="G918" s="31">
        <v>112.08</v>
      </c>
      <c r="H918" s="37">
        <f t="shared" ca="1" si="10"/>
        <v>4769.0220000000063</v>
      </c>
    </row>
    <row r="919" spans="1:8" x14ac:dyDescent="0.2">
      <c r="A919" s="17">
        <v>45838</v>
      </c>
      <c r="B919" s="18"/>
      <c r="C919" s="19" t="s">
        <v>33</v>
      </c>
      <c r="D919" s="30"/>
      <c r="E919" s="18" t="s">
        <v>14</v>
      </c>
      <c r="F919" s="31"/>
      <c r="G919" s="31">
        <v>100</v>
      </c>
      <c r="H919" s="37">
        <f t="shared" ca="1" si="10"/>
        <v>4869.0220000000063</v>
      </c>
    </row>
    <row r="920" spans="1:8" x14ac:dyDescent="0.2">
      <c r="A920" s="17">
        <v>45843</v>
      </c>
      <c r="B920" s="18"/>
      <c r="C920" s="19" t="s">
        <v>298</v>
      </c>
      <c r="D920" s="30" t="s">
        <v>32</v>
      </c>
      <c r="E920" s="18" t="s">
        <v>14</v>
      </c>
      <c r="F920" s="31">
        <v>362.95</v>
      </c>
      <c r="G920" s="31"/>
      <c r="H920" s="37">
        <f t="shared" ca="1" si="10"/>
        <v>4506.0720000000065</v>
      </c>
    </row>
    <row r="921" spans="1:8" x14ac:dyDescent="0.2">
      <c r="A921" s="17">
        <v>45849</v>
      </c>
      <c r="B921" s="18"/>
      <c r="C921" s="19" t="s">
        <v>33</v>
      </c>
      <c r="D921" s="30" t="s">
        <v>40</v>
      </c>
      <c r="E921" s="18" t="s">
        <v>14</v>
      </c>
      <c r="F921" s="31"/>
      <c r="G921" s="31">
        <v>4285.91</v>
      </c>
      <c r="H921" s="37">
        <f t="shared" ca="1" si="10"/>
        <v>8791.9820000000072</v>
      </c>
    </row>
    <row r="922" spans="1:8" x14ac:dyDescent="0.2">
      <c r="A922" s="17">
        <v>45845</v>
      </c>
      <c r="B922" s="18"/>
      <c r="C922" s="19" t="s">
        <v>66</v>
      </c>
      <c r="D922" s="30"/>
      <c r="E922" s="18" t="s">
        <v>14</v>
      </c>
      <c r="F922" s="31"/>
      <c r="G922" s="31">
        <v>50</v>
      </c>
      <c r="H922" s="37">
        <f t="shared" ca="1" si="10"/>
        <v>8841.9820000000072</v>
      </c>
    </row>
    <row r="923" spans="1:8" x14ac:dyDescent="0.2">
      <c r="A923" s="17">
        <v>45846</v>
      </c>
      <c r="B923" s="18"/>
      <c r="C923" s="19" t="s">
        <v>66</v>
      </c>
      <c r="D923" s="30"/>
      <c r="E923" s="18" t="s">
        <v>14</v>
      </c>
      <c r="F923" s="31"/>
      <c r="G923" s="31">
        <v>18</v>
      </c>
      <c r="H923" s="37">
        <f t="shared" ca="1" si="10"/>
        <v>8859.9820000000072</v>
      </c>
    </row>
    <row r="924" spans="1:8" x14ac:dyDescent="0.2">
      <c r="A924" s="17">
        <v>45849</v>
      </c>
      <c r="B924" s="18"/>
      <c r="C924" s="19" t="s">
        <v>242</v>
      </c>
      <c r="D924" s="30" t="s">
        <v>284</v>
      </c>
      <c r="E924" s="18" t="s">
        <v>14</v>
      </c>
      <c r="F924" s="31">
        <v>143.46</v>
      </c>
      <c r="G924" s="31"/>
      <c r="H924" s="37">
        <f t="shared" ca="1" si="10"/>
        <v>8716.5220000000081</v>
      </c>
    </row>
    <row r="925" spans="1:8" x14ac:dyDescent="0.2">
      <c r="A925" s="17">
        <v>45849</v>
      </c>
      <c r="B925" s="18"/>
      <c r="C925" s="19" t="s">
        <v>36</v>
      </c>
      <c r="D925" s="30" t="s">
        <v>323</v>
      </c>
      <c r="E925" s="18" t="s">
        <v>14</v>
      </c>
      <c r="F925" s="31">
        <v>395.76</v>
      </c>
      <c r="G925" s="31"/>
      <c r="H925" s="37">
        <f t="shared" ca="1" si="10"/>
        <v>8320.7620000000079</v>
      </c>
    </row>
    <row r="926" spans="1:8" x14ac:dyDescent="0.2">
      <c r="A926" s="17">
        <v>45849</v>
      </c>
      <c r="B926" s="18"/>
      <c r="C926" s="19" t="s">
        <v>16</v>
      </c>
      <c r="D926" s="30" t="s">
        <v>47</v>
      </c>
      <c r="E926" s="18" t="s">
        <v>14</v>
      </c>
      <c r="F926" s="31">
        <v>185.84</v>
      </c>
      <c r="G926" s="31"/>
      <c r="H926" s="37">
        <f t="shared" ca="1" si="10"/>
        <v>8134.9220000000078</v>
      </c>
    </row>
    <row r="927" spans="1:8" x14ac:dyDescent="0.2">
      <c r="A927" s="17">
        <v>45849</v>
      </c>
      <c r="B927" s="18"/>
      <c r="C927" s="19" t="s">
        <v>356</v>
      </c>
      <c r="D927" s="30" t="s">
        <v>386</v>
      </c>
      <c r="E927" s="18" t="s">
        <v>14</v>
      </c>
      <c r="F927" s="31">
        <v>113.83</v>
      </c>
      <c r="G927" s="31"/>
      <c r="H927" s="37">
        <f t="shared" ca="1" si="10"/>
        <v>8021.0920000000078</v>
      </c>
    </row>
    <row r="928" spans="1:8" x14ac:dyDescent="0.2">
      <c r="A928" s="17">
        <v>45849</v>
      </c>
      <c r="B928" s="18"/>
      <c r="C928" s="19" t="s">
        <v>356</v>
      </c>
      <c r="D928" s="30" t="s">
        <v>385</v>
      </c>
      <c r="E928" s="18" t="s">
        <v>14</v>
      </c>
      <c r="F928" s="31">
        <v>7.44</v>
      </c>
      <c r="G928" s="31"/>
      <c r="H928" s="37">
        <f t="shared" ca="1" si="10"/>
        <v>8013.6520000000082</v>
      </c>
    </row>
    <row r="929" spans="1:8" x14ac:dyDescent="0.2">
      <c r="A929" s="17">
        <v>45849</v>
      </c>
      <c r="B929" s="18"/>
      <c r="C929" s="19" t="s">
        <v>271</v>
      </c>
      <c r="D929" s="30" t="s">
        <v>47</v>
      </c>
      <c r="E929" s="18" t="s">
        <v>14</v>
      </c>
      <c r="F929" s="31">
        <v>2523.9</v>
      </c>
      <c r="G929" s="31"/>
      <c r="H929" s="37">
        <f t="shared" ca="1" si="10"/>
        <v>5489.7520000000077</v>
      </c>
    </row>
    <row r="930" spans="1:8" x14ac:dyDescent="0.2">
      <c r="A930" s="17">
        <v>45858</v>
      </c>
      <c r="B930" s="18"/>
      <c r="C930" s="19" t="s">
        <v>36</v>
      </c>
      <c r="D930" s="30" t="s">
        <v>389</v>
      </c>
      <c r="E930" s="18" t="s">
        <v>14</v>
      </c>
      <c r="F930" s="31">
        <v>479</v>
      </c>
      <c r="G930" s="31"/>
      <c r="H930" s="37">
        <f t="shared" ca="1" si="10"/>
        <v>5010.7520000000077</v>
      </c>
    </row>
    <row r="931" spans="1:8" x14ac:dyDescent="0.2">
      <c r="A931" s="17">
        <v>45863</v>
      </c>
      <c r="B931" s="18"/>
      <c r="C931" s="19" t="s">
        <v>33</v>
      </c>
      <c r="D931" s="30" t="s">
        <v>40</v>
      </c>
      <c r="E931" s="18" t="s">
        <v>14</v>
      </c>
      <c r="F931" s="31"/>
      <c r="G931" s="31">
        <v>4285.91</v>
      </c>
      <c r="H931" s="37">
        <f t="shared" ca="1" si="10"/>
        <v>9296.6620000000075</v>
      </c>
    </row>
    <row r="932" spans="1:8" x14ac:dyDescent="0.2">
      <c r="A932" s="17">
        <v>45863</v>
      </c>
      <c r="B932" s="18"/>
      <c r="C932" s="19" t="s">
        <v>27</v>
      </c>
      <c r="D932" s="30" t="s">
        <v>30</v>
      </c>
      <c r="E932" s="18" t="s">
        <v>14</v>
      </c>
      <c r="F932" s="31">
        <v>165.72</v>
      </c>
      <c r="G932" s="31"/>
      <c r="H932" s="37">
        <f t="shared" ca="1" si="10"/>
        <v>9130.9420000000082</v>
      </c>
    </row>
    <row r="933" spans="1:8" x14ac:dyDescent="0.2">
      <c r="A933" s="17">
        <v>45863</v>
      </c>
      <c r="B933" s="18"/>
      <c r="C933" s="19" t="s">
        <v>404</v>
      </c>
      <c r="D933" s="30" t="s">
        <v>34</v>
      </c>
      <c r="E933" s="18" t="s">
        <v>14</v>
      </c>
      <c r="F933" s="31">
        <v>424</v>
      </c>
      <c r="G933" s="31"/>
      <c r="H933" s="37">
        <f t="shared" ca="1" si="10"/>
        <v>8706.9420000000082</v>
      </c>
    </row>
    <row r="934" spans="1:8" x14ac:dyDescent="0.2">
      <c r="A934" s="17">
        <v>45867</v>
      </c>
      <c r="B934" s="18"/>
      <c r="C934" s="19" t="s">
        <v>28</v>
      </c>
      <c r="D934" s="30" t="s">
        <v>55</v>
      </c>
      <c r="E934" s="18" t="s">
        <v>14</v>
      </c>
      <c r="F934" s="31">
        <v>1208.8900000000001</v>
      </c>
      <c r="G934" s="31"/>
      <c r="H934" s="37">
        <f t="shared" ca="1" si="10"/>
        <v>7498.0520000000079</v>
      </c>
    </row>
    <row r="935" spans="1:8" x14ac:dyDescent="0.2">
      <c r="A935" s="17">
        <v>45867</v>
      </c>
      <c r="B935" s="18"/>
      <c r="C935" s="19" t="s">
        <v>29</v>
      </c>
      <c r="D935" s="30" t="s">
        <v>45</v>
      </c>
      <c r="E935" s="18" t="s">
        <v>14</v>
      </c>
      <c r="F935" s="31">
        <v>82.91</v>
      </c>
      <c r="G935" s="31"/>
      <c r="H935" s="37">
        <f t="shared" ca="1" si="10"/>
        <v>7415.142000000008</v>
      </c>
    </row>
    <row r="936" spans="1:8" x14ac:dyDescent="0.2">
      <c r="A936" s="17">
        <v>45867</v>
      </c>
      <c r="B936" s="18"/>
      <c r="C936" s="19" t="s">
        <v>250</v>
      </c>
      <c r="D936" s="30" t="s">
        <v>32</v>
      </c>
      <c r="E936" s="18" t="s">
        <v>14</v>
      </c>
      <c r="F936" s="31">
        <v>214.57</v>
      </c>
      <c r="G936" s="31"/>
      <c r="H936" s="37">
        <f t="shared" ca="1" si="10"/>
        <v>7200.5720000000083</v>
      </c>
    </row>
    <row r="937" spans="1:8" x14ac:dyDescent="0.2">
      <c r="A937" s="17">
        <v>45873</v>
      </c>
      <c r="B937" s="18"/>
      <c r="C937" s="19" t="s">
        <v>66</v>
      </c>
      <c r="D937" s="30" t="s">
        <v>318</v>
      </c>
      <c r="E937" s="18" t="s">
        <v>14</v>
      </c>
      <c r="F937" s="31"/>
      <c r="G937" s="31">
        <v>53.12</v>
      </c>
      <c r="H937" s="37">
        <f t="shared" ca="1" si="10"/>
        <v>7253.6920000000082</v>
      </c>
    </row>
    <row r="938" spans="1:8" x14ac:dyDescent="0.2">
      <c r="A938" s="17">
        <v>45869</v>
      </c>
      <c r="B938" s="18"/>
      <c r="C938" s="19" t="s">
        <v>33</v>
      </c>
      <c r="D938" s="30" t="s">
        <v>245</v>
      </c>
      <c r="E938" s="18" t="s">
        <v>14</v>
      </c>
      <c r="F938" s="31"/>
      <c r="G938" s="31">
        <v>4</v>
      </c>
      <c r="H938" s="37">
        <f t="shared" ca="1" si="10"/>
        <v>7257.6920000000082</v>
      </c>
    </row>
    <row r="939" spans="1:8" x14ac:dyDescent="0.2">
      <c r="A939" s="17">
        <v>45877</v>
      </c>
      <c r="B939" s="18"/>
      <c r="C939" s="19" t="s">
        <v>33</v>
      </c>
      <c r="D939" s="30" t="s">
        <v>40</v>
      </c>
      <c r="E939" s="18" t="s">
        <v>14</v>
      </c>
      <c r="F939" s="31"/>
      <c r="G939" s="31">
        <v>4285.92</v>
      </c>
      <c r="H939" s="37">
        <f t="shared" ca="1" si="10"/>
        <v>11543.612000000008</v>
      </c>
    </row>
    <row r="940" spans="1:8" x14ac:dyDescent="0.2">
      <c r="A940" s="17">
        <v>45877</v>
      </c>
      <c r="B940" s="18"/>
      <c r="C940" s="19" t="s">
        <v>271</v>
      </c>
      <c r="D940" s="30" t="s">
        <v>47</v>
      </c>
      <c r="E940" s="18" t="s">
        <v>14</v>
      </c>
      <c r="F940" s="31">
        <v>4225.84</v>
      </c>
      <c r="G940" s="31"/>
      <c r="H940" s="37">
        <f t="shared" ca="1" si="10"/>
        <v>7317.7720000000081</v>
      </c>
    </row>
    <row r="941" spans="1:8" x14ac:dyDescent="0.2">
      <c r="A941" s="17">
        <v>45877</v>
      </c>
      <c r="B941" s="18"/>
      <c r="C941" s="19" t="s">
        <v>242</v>
      </c>
      <c r="D941" s="30" t="s">
        <v>284</v>
      </c>
      <c r="E941" s="18" t="s">
        <v>14</v>
      </c>
      <c r="F941" s="31">
        <v>106</v>
      </c>
      <c r="G941" s="31"/>
      <c r="H941" s="37">
        <f t="shared" ca="1" si="10"/>
        <v>7211.7720000000081</v>
      </c>
    </row>
    <row r="942" spans="1:8" x14ac:dyDescent="0.2">
      <c r="A942" s="17">
        <v>45881</v>
      </c>
      <c r="B942" s="18"/>
      <c r="C942" s="19" t="s">
        <v>356</v>
      </c>
      <c r="D942" s="30" t="s">
        <v>386</v>
      </c>
      <c r="E942" s="18" t="s">
        <v>14</v>
      </c>
      <c r="F942" s="31">
        <v>78.790000000000006</v>
      </c>
      <c r="G942" s="31"/>
      <c r="H942" s="37">
        <f t="shared" ca="1" si="10"/>
        <v>7132.9820000000082</v>
      </c>
    </row>
    <row r="943" spans="1:8" x14ac:dyDescent="0.2">
      <c r="A943" s="17">
        <v>45881</v>
      </c>
      <c r="B943" s="18"/>
      <c r="C943" s="19" t="s">
        <v>356</v>
      </c>
      <c r="D943" s="30" t="s">
        <v>385</v>
      </c>
      <c r="E943" s="18" t="s">
        <v>14</v>
      </c>
      <c r="F943" s="31">
        <v>14.92</v>
      </c>
      <c r="G943" s="31"/>
      <c r="H943" s="37">
        <f t="shared" ref="H943:H1005" ca="1" si="11">IF(AND(ISBLANK(F943),ISBLANK(G943)),"",OFFSET(H943,-1,0,1,1)+G943-F943)</f>
        <v>7118.0620000000081</v>
      </c>
    </row>
    <row r="944" spans="1:8" x14ac:dyDescent="0.2">
      <c r="A944" s="17">
        <v>45881</v>
      </c>
      <c r="B944" s="18"/>
      <c r="C944" s="19" t="s">
        <v>16</v>
      </c>
      <c r="D944" s="30" t="s">
        <v>47</v>
      </c>
      <c r="E944" s="18" t="s">
        <v>14</v>
      </c>
      <c r="F944" s="31">
        <v>313.36</v>
      </c>
      <c r="G944" s="31"/>
      <c r="H944" s="37">
        <f t="shared" ca="1" si="11"/>
        <v>6804.7020000000084</v>
      </c>
    </row>
    <row r="945" spans="1:8" x14ac:dyDescent="0.2">
      <c r="A945" s="17">
        <v>45882</v>
      </c>
      <c r="B945" s="18"/>
      <c r="C945" s="19" t="s">
        <v>36</v>
      </c>
      <c r="D945" s="30" t="s">
        <v>323</v>
      </c>
      <c r="E945" s="18" t="s">
        <v>14</v>
      </c>
      <c r="F945" s="31">
        <v>395.76</v>
      </c>
      <c r="G945" s="31"/>
      <c r="H945" s="37">
        <f t="shared" ca="1" si="11"/>
        <v>6408.9420000000082</v>
      </c>
    </row>
    <row r="946" spans="1:8" x14ac:dyDescent="0.2">
      <c r="A946" s="17">
        <v>45884</v>
      </c>
      <c r="B946" s="18"/>
      <c r="C946" s="19" t="s">
        <v>33</v>
      </c>
      <c r="D946" s="30" t="s">
        <v>40</v>
      </c>
      <c r="E946" s="18" t="s">
        <v>14</v>
      </c>
      <c r="F946" s="31"/>
      <c r="G946" s="31">
        <v>7174.18</v>
      </c>
      <c r="H946" s="37">
        <f t="shared" ca="1" si="11"/>
        <v>13583.122000000008</v>
      </c>
    </row>
    <row r="947" spans="1:8" x14ac:dyDescent="0.2">
      <c r="A947" s="17">
        <v>45883</v>
      </c>
      <c r="B947" s="18">
        <v>1419</v>
      </c>
      <c r="C947" s="19" t="s">
        <v>405</v>
      </c>
      <c r="D947" s="30" t="s">
        <v>406</v>
      </c>
      <c r="E947" s="18" t="s">
        <v>14</v>
      </c>
      <c r="F947" s="31">
        <v>400</v>
      </c>
      <c r="G947" s="31"/>
      <c r="H947" s="37">
        <f t="shared" ca="1" si="11"/>
        <v>13183.122000000008</v>
      </c>
    </row>
    <row r="948" spans="1:8" x14ac:dyDescent="0.2">
      <c r="A948" s="17">
        <v>45884</v>
      </c>
      <c r="B948" s="18"/>
      <c r="C948" s="19" t="s">
        <v>66</v>
      </c>
      <c r="D948" s="30" t="s">
        <v>406</v>
      </c>
      <c r="E948" s="18" t="s">
        <v>14</v>
      </c>
      <c r="F948" s="31"/>
      <c r="G948" s="31">
        <v>40</v>
      </c>
      <c r="H948" s="37">
        <f t="shared" ca="1" si="11"/>
        <v>13223.122000000008</v>
      </c>
    </row>
    <row r="949" spans="1:8" x14ac:dyDescent="0.2">
      <c r="A949" s="17">
        <v>45884</v>
      </c>
      <c r="B949" s="18"/>
      <c r="C949" s="19" t="s">
        <v>36</v>
      </c>
      <c r="D949" s="30" t="s">
        <v>389</v>
      </c>
      <c r="E949" s="18" t="s">
        <v>14</v>
      </c>
      <c r="F949" s="31">
        <v>479</v>
      </c>
      <c r="G949" s="31"/>
      <c r="H949" s="37">
        <f t="shared" ca="1" si="11"/>
        <v>12744.122000000008</v>
      </c>
    </row>
    <row r="950" spans="1:8" x14ac:dyDescent="0.2">
      <c r="A950" s="17">
        <v>45884</v>
      </c>
      <c r="B950" s="18"/>
      <c r="C950" s="19" t="s">
        <v>58</v>
      </c>
      <c r="D950" s="30" t="s">
        <v>30</v>
      </c>
      <c r="E950" s="18" t="s">
        <v>14</v>
      </c>
      <c r="F950" s="31">
        <v>234.28</v>
      </c>
      <c r="G950" s="31"/>
      <c r="H950" s="37">
        <f t="shared" ca="1" si="11"/>
        <v>12509.842000000008</v>
      </c>
    </row>
    <row r="951" spans="1:8" x14ac:dyDescent="0.2">
      <c r="A951" s="17">
        <v>45890</v>
      </c>
      <c r="B951" s="18"/>
      <c r="C951" s="19" t="s">
        <v>66</v>
      </c>
      <c r="D951" s="30"/>
      <c r="E951" s="18" t="s">
        <v>14</v>
      </c>
      <c r="F951" s="31"/>
      <c r="G951" s="31">
        <v>10.66</v>
      </c>
      <c r="H951" s="37">
        <f t="shared" ca="1" si="11"/>
        <v>12520.502000000008</v>
      </c>
    </row>
    <row r="952" spans="1:8" x14ac:dyDescent="0.2">
      <c r="A952" s="17">
        <v>45894</v>
      </c>
      <c r="B952" s="18"/>
      <c r="C952" s="19" t="s">
        <v>356</v>
      </c>
      <c r="D952" s="30" t="s">
        <v>385</v>
      </c>
      <c r="E952" s="18" t="s">
        <v>14</v>
      </c>
      <c r="F952" s="31">
        <v>12.82</v>
      </c>
      <c r="G952" s="31"/>
      <c r="H952" s="37">
        <f t="shared" ca="1" si="11"/>
        <v>12507.682000000008</v>
      </c>
    </row>
    <row r="953" spans="1:8" x14ac:dyDescent="0.2">
      <c r="A953" s="17">
        <v>45898</v>
      </c>
      <c r="B953" s="18"/>
      <c r="C953" s="19" t="s">
        <v>33</v>
      </c>
      <c r="D953" s="30" t="s">
        <v>40</v>
      </c>
      <c r="E953" s="18" t="s">
        <v>14</v>
      </c>
      <c r="F953" s="31"/>
      <c r="G953" s="31">
        <v>5590.66</v>
      </c>
      <c r="H953" s="37">
        <f t="shared" ca="1" si="11"/>
        <v>18098.342000000008</v>
      </c>
    </row>
    <row r="954" spans="1:8" x14ac:dyDescent="0.2">
      <c r="A954" s="17">
        <v>45898</v>
      </c>
      <c r="B954" s="18"/>
      <c r="C954" s="19" t="s">
        <v>28</v>
      </c>
      <c r="D954" s="30" t="s">
        <v>55</v>
      </c>
      <c r="E954" s="18" t="s">
        <v>14</v>
      </c>
      <c r="F954" s="31">
        <v>1209.8900000000001</v>
      </c>
      <c r="G954" s="31"/>
      <c r="H954" s="37">
        <f t="shared" ca="1" si="11"/>
        <v>16888.452000000008</v>
      </c>
    </row>
    <row r="955" spans="1:8" x14ac:dyDescent="0.2">
      <c r="A955" s="17">
        <v>45898</v>
      </c>
      <c r="B955" s="18"/>
      <c r="C955" s="19" t="s">
        <v>29</v>
      </c>
      <c r="D955" s="30" t="s">
        <v>45</v>
      </c>
      <c r="E955" s="18" t="s">
        <v>14</v>
      </c>
      <c r="F955" s="31">
        <v>155.41</v>
      </c>
      <c r="G955" s="31"/>
      <c r="H955" s="37">
        <f t="shared" ca="1" si="11"/>
        <v>16733.042000000009</v>
      </c>
    </row>
    <row r="956" spans="1:8" x14ac:dyDescent="0.2">
      <c r="A956" s="17">
        <v>45898</v>
      </c>
      <c r="B956" s="18"/>
      <c r="C956" s="19" t="s">
        <v>271</v>
      </c>
      <c r="D956" s="30" t="s">
        <v>47</v>
      </c>
      <c r="E956" s="18" t="s">
        <v>14</v>
      </c>
      <c r="F956" s="31">
        <v>3840.44</v>
      </c>
      <c r="G956" s="31"/>
      <c r="H956" s="37">
        <f t="shared" ca="1" si="11"/>
        <v>12892.602000000008</v>
      </c>
    </row>
    <row r="957" spans="1:8" x14ac:dyDescent="0.2">
      <c r="A957" s="17">
        <v>45903</v>
      </c>
      <c r="B957" s="18">
        <v>1420</v>
      </c>
      <c r="C957" s="19" t="s">
        <v>407</v>
      </c>
      <c r="D957" s="30" t="s">
        <v>408</v>
      </c>
      <c r="E957" s="18" t="s">
        <v>14</v>
      </c>
      <c r="F957" s="31">
        <v>307</v>
      </c>
      <c r="G957" s="31"/>
      <c r="H957" s="37">
        <f t="shared" ca="1" si="11"/>
        <v>12585.602000000008</v>
      </c>
    </row>
    <row r="958" spans="1:8" x14ac:dyDescent="0.2">
      <c r="A958" s="17">
        <v>45903</v>
      </c>
      <c r="B958" s="18">
        <v>1422</v>
      </c>
      <c r="C958" s="19" t="s">
        <v>410</v>
      </c>
      <c r="D958" s="30" t="s">
        <v>409</v>
      </c>
      <c r="E958" s="18" t="s">
        <v>14</v>
      </c>
      <c r="F958" s="31">
        <v>683</v>
      </c>
      <c r="G958" s="31"/>
      <c r="H958" s="37">
        <f t="shared" ca="1" si="11"/>
        <v>11902.602000000008</v>
      </c>
    </row>
    <row r="959" spans="1:8" x14ac:dyDescent="0.2">
      <c r="A959" s="17">
        <v>45912</v>
      </c>
      <c r="B959" s="18"/>
      <c r="C959" s="19" t="s">
        <v>242</v>
      </c>
      <c r="D959" s="30" t="s">
        <v>284</v>
      </c>
      <c r="E959" s="18" t="s">
        <v>14</v>
      </c>
      <c r="F959" s="31">
        <v>106</v>
      </c>
      <c r="G959" s="31"/>
      <c r="H959" s="37">
        <f t="shared" ca="1" si="11"/>
        <v>11796.602000000008</v>
      </c>
    </row>
    <row r="960" spans="1:8" x14ac:dyDescent="0.2">
      <c r="A960" s="17">
        <v>45915</v>
      </c>
      <c r="B960" s="18"/>
      <c r="C960" s="19" t="s">
        <v>33</v>
      </c>
      <c r="D960" s="30" t="s">
        <v>40</v>
      </c>
      <c r="E960" s="18" t="s">
        <v>14</v>
      </c>
      <c r="F960" s="31"/>
      <c r="G960" s="31">
        <v>5590.67</v>
      </c>
      <c r="H960" s="37">
        <f t="shared" ca="1" si="11"/>
        <v>17387.272000000008</v>
      </c>
    </row>
    <row r="961" spans="1:8" x14ac:dyDescent="0.2">
      <c r="A961" s="17">
        <v>45905</v>
      </c>
      <c r="B961" s="18"/>
      <c r="C961" s="19" t="s">
        <v>33</v>
      </c>
      <c r="D961" s="30" t="s">
        <v>32</v>
      </c>
      <c r="E961" s="18" t="s">
        <v>14</v>
      </c>
      <c r="F961" s="31">
        <v>404</v>
      </c>
      <c r="G961" s="31"/>
      <c r="H961" s="37">
        <f t="shared" ca="1" si="11"/>
        <v>16983.272000000008</v>
      </c>
    </row>
    <row r="962" spans="1:8" x14ac:dyDescent="0.2">
      <c r="A962" s="17">
        <v>45905</v>
      </c>
      <c r="B962" s="18"/>
      <c r="C962" s="19" t="s">
        <v>66</v>
      </c>
      <c r="D962" s="30" t="s">
        <v>318</v>
      </c>
      <c r="E962" s="18" t="s">
        <v>14</v>
      </c>
      <c r="F962" s="31"/>
      <c r="G962" s="31">
        <v>53.47</v>
      </c>
      <c r="H962" s="37">
        <f t="shared" ca="1" si="11"/>
        <v>17036.742000000009</v>
      </c>
    </row>
    <row r="963" spans="1:8" x14ac:dyDescent="0.2">
      <c r="A963" s="17">
        <v>45913</v>
      </c>
      <c r="B963" s="18"/>
      <c r="C963" s="19" t="s">
        <v>36</v>
      </c>
      <c r="D963" s="30" t="s">
        <v>323</v>
      </c>
      <c r="E963" s="18" t="s">
        <v>14</v>
      </c>
      <c r="F963" s="31">
        <v>395.76</v>
      </c>
      <c r="G963" s="31"/>
      <c r="H963" s="37">
        <f t="shared" ca="1" si="11"/>
        <v>16640.982000000011</v>
      </c>
    </row>
    <row r="964" spans="1:8" x14ac:dyDescent="0.2">
      <c r="A964" s="17">
        <v>45913</v>
      </c>
      <c r="B964" s="18"/>
      <c r="C964" s="19" t="s">
        <v>16</v>
      </c>
      <c r="D964" s="30" t="s">
        <v>47</v>
      </c>
      <c r="E964" s="18" t="s">
        <v>14</v>
      </c>
      <c r="F964" s="31">
        <v>161.9</v>
      </c>
      <c r="G964" s="31"/>
      <c r="H964" s="37">
        <f t="shared" ca="1" si="11"/>
        <v>16479.082000000009</v>
      </c>
    </row>
    <row r="965" spans="1:8" x14ac:dyDescent="0.2">
      <c r="A965" s="17">
        <v>45913</v>
      </c>
      <c r="B965" s="18"/>
      <c r="C965" s="19" t="s">
        <v>356</v>
      </c>
      <c r="D965" s="30" t="s">
        <v>385</v>
      </c>
      <c r="E965" s="18" t="s">
        <v>14</v>
      </c>
      <c r="F965" s="31">
        <v>4.26</v>
      </c>
      <c r="G965" s="31"/>
      <c r="H965" s="37">
        <f t="shared" ca="1" si="11"/>
        <v>16474.822000000011</v>
      </c>
    </row>
    <row r="966" spans="1:8" x14ac:dyDescent="0.2">
      <c r="A966" s="17">
        <v>45913</v>
      </c>
      <c r="B966" s="18"/>
      <c r="C966" s="19" t="s">
        <v>356</v>
      </c>
      <c r="D966" s="30" t="s">
        <v>386</v>
      </c>
      <c r="E966" s="18" t="s">
        <v>14</v>
      </c>
      <c r="F966" s="31">
        <v>40.520000000000003</v>
      </c>
      <c r="G966" s="31"/>
      <c r="H966" s="37">
        <f t="shared" ca="1" si="11"/>
        <v>16434.302000000011</v>
      </c>
    </row>
    <row r="967" spans="1:8" x14ac:dyDescent="0.2">
      <c r="A967" s="17">
        <v>45915</v>
      </c>
      <c r="B967" s="18"/>
      <c r="C967" s="19" t="s">
        <v>66</v>
      </c>
      <c r="D967" s="30" t="s">
        <v>411</v>
      </c>
      <c r="E967" s="18" t="s">
        <v>14</v>
      </c>
      <c r="F967" s="31"/>
      <c r="G967" s="31">
        <v>50</v>
      </c>
      <c r="H967" s="37">
        <f t="shared" ca="1" si="11"/>
        <v>16484.302000000011</v>
      </c>
    </row>
    <row r="968" spans="1:8" x14ac:dyDescent="0.2">
      <c r="A968" s="17">
        <v>45915</v>
      </c>
      <c r="B968" s="18"/>
      <c r="C968" s="19" t="s">
        <v>412</v>
      </c>
      <c r="D968" s="30" t="s">
        <v>411</v>
      </c>
      <c r="E968" s="18" t="s">
        <v>14</v>
      </c>
      <c r="F968" s="31">
        <v>50</v>
      </c>
      <c r="G968" s="31"/>
      <c r="H968" s="37">
        <f t="shared" ca="1" si="11"/>
        <v>16434.302000000011</v>
      </c>
    </row>
    <row r="969" spans="1:8" x14ac:dyDescent="0.2">
      <c r="A969" s="17">
        <v>45919</v>
      </c>
      <c r="B969" s="18"/>
      <c r="C969" s="19" t="s">
        <v>36</v>
      </c>
      <c r="D969" s="30" t="s">
        <v>389</v>
      </c>
      <c r="E969" s="18" t="s">
        <v>14</v>
      </c>
      <c r="F969" s="31">
        <v>479</v>
      </c>
      <c r="G969" s="31"/>
      <c r="H969" s="37">
        <f t="shared" ca="1" si="11"/>
        <v>15955.302000000011</v>
      </c>
    </row>
    <row r="970" spans="1:8" x14ac:dyDescent="0.2">
      <c r="A970" s="17">
        <v>45919</v>
      </c>
      <c r="B970" s="18"/>
      <c r="C970" s="19" t="s">
        <v>16</v>
      </c>
      <c r="D970" s="30" t="s">
        <v>47</v>
      </c>
      <c r="E970" s="18" t="s">
        <v>14</v>
      </c>
      <c r="F970" s="31">
        <v>61.72</v>
      </c>
      <c r="G970" s="31"/>
      <c r="H970" s="37">
        <f t="shared" ca="1" si="11"/>
        <v>15893.582000000011</v>
      </c>
    </row>
    <row r="971" spans="1:8" x14ac:dyDescent="0.2">
      <c r="A971" s="17">
        <v>45925</v>
      </c>
      <c r="B971" s="18"/>
      <c r="C971" s="19" t="s">
        <v>250</v>
      </c>
      <c r="D971" s="30" t="s">
        <v>32</v>
      </c>
      <c r="E971" s="18" t="s">
        <v>14</v>
      </c>
      <c r="F971" s="31">
        <v>264.52999999999997</v>
      </c>
      <c r="G971" s="31"/>
      <c r="H971" s="37">
        <f t="shared" ca="1" si="11"/>
        <v>15629.052000000011</v>
      </c>
    </row>
    <row r="972" spans="1:8" x14ac:dyDescent="0.2">
      <c r="A972" s="17">
        <v>45925</v>
      </c>
      <c r="B972" s="18"/>
      <c r="C972" s="19" t="s">
        <v>66</v>
      </c>
      <c r="D972" s="30" t="s">
        <v>413</v>
      </c>
      <c r="E972" s="18" t="s">
        <v>14</v>
      </c>
      <c r="F972" s="31">
        <v>100</v>
      </c>
      <c r="G972" s="31"/>
      <c r="H972" s="37">
        <f t="shared" ca="1" si="11"/>
        <v>15529.052000000011</v>
      </c>
    </row>
    <row r="973" spans="1:8" x14ac:dyDescent="0.2">
      <c r="A973" s="17">
        <v>45922</v>
      </c>
      <c r="B973" s="18"/>
      <c r="C973" s="19" t="s">
        <v>66</v>
      </c>
      <c r="D973" s="30" t="s">
        <v>414</v>
      </c>
      <c r="E973" s="18" t="s">
        <v>14</v>
      </c>
      <c r="F973" s="31"/>
      <c r="G973" s="31">
        <v>50</v>
      </c>
      <c r="H973" s="37">
        <f t="shared" ca="1" si="11"/>
        <v>15579.052000000011</v>
      </c>
    </row>
    <row r="974" spans="1:8" x14ac:dyDescent="0.2">
      <c r="A974" s="17">
        <v>45930</v>
      </c>
      <c r="B974" s="18"/>
      <c r="C974" s="19" t="s">
        <v>33</v>
      </c>
      <c r="D974" s="30" t="s">
        <v>40</v>
      </c>
      <c r="E974" s="18" t="s">
        <v>14</v>
      </c>
      <c r="F974" s="31"/>
      <c r="G974" s="31">
        <v>5590.66</v>
      </c>
      <c r="H974" s="37">
        <f t="shared" ca="1" si="11"/>
        <v>21169.71200000001</v>
      </c>
    </row>
    <row r="975" spans="1:8" x14ac:dyDescent="0.2">
      <c r="A975" s="17">
        <v>45930</v>
      </c>
      <c r="B975" s="18"/>
      <c r="C975" s="19" t="s">
        <v>28</v>
      </c>
      <c r="D975" s="30" t="s">
        <v>55</v>
      </c>
      <c r="E975" s="18" t="s">
        <v>14</v>
      </c>
      <c r="F975" s="31">
        <v>1208.8900000000001</v>
      </c>
      <c r="G975" s="31"/>
      <c r="H975" s="37">
        <f t="shared" ca="1" si="11"/>
        <v>19960.822000000011</v>
      </c>
    </row>
    <row r="976" spans="1:8" x14ac:dyDescent="0.2">
      <c r="A976" s="17">
        <v>45930</v>
      </c>
      <c r="B976" s="18"/>
      <c r="C976" s="19" t="s">
        <v>29</v>
      </c>
      <c r="D976" s="30" t="s">
        <v>45</v>
      </c>
      <c r="E976" s="18" t="s">
        <v>14</v>
      </c>
      <c r="F976" s="31">
        <v>157.22999999999999</v>
      </c>
      <c r="G976" s="31"/>
      <c r="H976" s="37">
        <f t="shared" ca="1" si="11"/>
        <v>19803.592000000011</v>
      </c>
    </row>
    <row r="977" spans="1:8" x14ac:dyDescent="0.2">
      <c r="A977" s="17">
        <v>45930</v>
      </c>
      <c r="B977" s="18"/>
      <c r="C977" s="19" t="s">
        <v>271</v>
      </c>
      <c r="D977" s="30" t="s">
        <v>47</v>
      </c>
      <c r="E977" s="18" t="s">
        <v>14</v>
      </c>
      <c r="F977" s="31">
        <v>3789.19</v>
      </c>
      <c r="G977" s="31"/>
      <c r="H977" s="37">
        <f t="shared" ca="1" si="11"/>
        <v>16014.402000000011</v>
      </c>
    </row>
    <row r="978" spans="1:8" x14ac:dyDescent="0.2">
      <c r="A978" s="17">
        <v>45930</v>
      </c>
      <c r="B978" s="18"/>
      <c r="C978" s="19" t="s">
        <v>28</v>
      </c>
      <c r="D978" s="30" t="s">
        <v>415</v>
      </c>
      <c r="E978" s="18" t="s">
        <v>14</v>
      </c>
      <c r="F978" s="31">
        <v>1629.1</v>
      </c>
      <c r="G978" s="31"/>
      <c r="H978" s="37">
        <f t="shared" ca="1" si="11"/>
        <v>14385.302000000011</v>
      </c>
    </row>
    <row r="979" spans="1:8" x14ac:dyDescent="0.2">
      <c r="A979" s="17">
        <v>45930</v>
      </c>
      <c r="B979" s="18"/>
      <c r="C979" s="19" t="s">
        <v>66</v>
      </c>
      <c r="D979" s="30" t="s">
        <v>335</v>
      </c>
      <c r="E979" s="18" t="s">
        <v>14</v>
      </c>
      <c r="F979" s="31"/>
      <c r="G979" s="31">
        <v>50</v>
      </c>
      <c r="H979" s="37">
        <f t="shared" ca="1" si="11"/>
        <v>14435.302000000011</v>
      </c>
    </row>
    <row r="980" spans="1:8" x14ac:dyDescent="0.2">
      <c r="A980" s="17">
        <v>45930</v>
      </c>
      <c r="B980" s="18"/>
      <c r="C980" s="19" t="s">
        <v>33</v>
      </c>
      <c r="D980" s="30" t="s">
        <v>245</v>
      </c>
      <c r="E980" s="18" t="s">
        <v>14</v>
      </c>
      <c r="F980" s="31"/>
      <c r="G980" s="31">
        <v>4</v>
      </c>
      <c r="H980" s="37">
        <f t="shared" ca="1" si="11"/>
        <v>14439.302000000011</v>
      </c>
    </row>
    <row r="981" spans="1:8" x14ac:dyDescent="0.2">
      <c r="A981" s="17">
        <v>45931</v>
      </c>
      <c r="B981" s="18"/>
      <c r="C981" s="19" t="s">
        <v>42</v>
      </c>
      <c r="D981" s="30"/>
      <c r="E981" s="18" t="s">
        <v>14</v>
      </c>
      <c r="F981" s="31">
        <v>5000</v>
      </c>
      <c r="G981" s="31"/>
      <c r="H981" s="37">
        <f t="shared" ca="1" si="11"/>
        <v>9439.3020000000106</v>
      </c>
    </row>
    <row r="982" spans="1:8" x14ac:dyDescent="0.2">
      <c r="A982" s="17">
        <v>45933</v>
      </c>
      <c r="B982" s="18"/>
      <c r="C982" s="19" t="s">
        <v>250</v>
      </c>
      <c r="D982" s="30" t="s">
        <v>32</v>
      </c>
      <c r="E982" s="18" t="s">
        <v>14</v>
      </c>
      <c r="F982" s="31">
        <v>97.14</v>
      </c>
      <c r="G982" s="31"/>
      <c r="H982" s="37">
        <f t="shared" ca="1" si="11"/>
        <v>9342.1620000000112</v>
      </c>
    </row>
    <row r="983" spans="1:8" x14ac:dyDescent="0.2">
      <c r="A983" s="17">
        <v>45938</v>
      </c>
      <c r="B983" s="18"/>
      <c r="C983" s="19" t="s">
        <v>271</v>
      </c>
      <c r="D983" s="30" t="s">
        <v>47</v>
      </c>
      <c r="E983" s="18" t="s">
        <v>14</v>
      </c>
      <c r="F983" s="31">
        <v>2131.96</v>
      </c>
      <c r="G983" s="31"/>
      <c r="H983" s="37">
        <f t="shared" ca="1" si="11"/>
        <v>7210.2020000000111</v>
      </c>
    </row>
    <row r="984" spans="1:8" x14ac:dyDescent="0.2">
      <c r="A984" s="17">
        <v>45937</v>
      </c>
      <c r="B984" s="18"/>
      <c r="C984" s="19" t="s">
        <v>66</v>
      </c>
      <c r="D984" s="30" t="s">
        <v>416</v>
      </c>
      <c r="E984" s="18" t="s">
        <v>14</v>
      </c>
      <c r="F984" s="31">
        <v>5</v>
      </c>
      <c r="G984" s="31"/>
      <c r="H984" s="37">
        <f t="shared" ca="1" si="11"/>
        <v>7205.2020000000111</v>
      </c>
    </row>
    <row r="985" spans="1:8" x14ac:dyDescent="0.2">
      <c r="A985" s="17">
        <v>45937</v>
      </c>
      <c r="B985" s="18"/>
      <c r="C985" s="19" t="s">
        <v>66</v>
      </c>
      <c r="D985" s="30" t="s">
        <v>416</v>
      </c>
      <c r="E985" s="18" t="s">
        <v>14</v>
      </c>
      <c r="F985" s="31">
        <v>15</v>
      </c>
      <c r="G985" s="31"/>
      <c r="H985" s="37">
        <f t="shared" ca="1" si="11"/>
        <v>7190.2020000000111</v>
      </c>
    </row>
    <row r="986" spans="1:8" x14ac:dyDescent="0.2">
      <c r="A986" s="17">
        <v>45936</v>
      </c>
      <c r="B986" s="18"/>
      <c r="C986" s="19" t="s">
        <v>33</v>
      </c>
      <c r="D986" s="30" t="s">
        <v>34</v>
      </c>
      <c r="E986" s="18" t="s">
        <v>14</v>
      </c>
      <c r="F986" s="31">
        <v>400</v>
      </c>
      <c r="G986" s="31"/>
      <c r="H986" s="37">
        <f t="shared" ca="1" si="11"/>
        <v>6790.2020000000111</v>
      </c>
    </row>
    <row r="987" spans="1:8" x14ac:dyDescent="0.2">
      <c r="A987" s="17">
        <v>45933</v>
      </c>
      <c r="B987" s="18"/>
      <c r="C987" s="19" t="s">
        <v>66</v>
      </c>
      <c r="D987" s="30"/>
      <c r="E987" s="18" t="s">
        <v>14</v>
      </c>
      <c r="F987" s="31"/>
      <c r="G987" s="31">
        <v>50</v>
      </c>
      <c r="H987" s="37">
        <f t="shared" ca="1" si="11"/>
        <v>6840.2020000000111</v>
      </c>
    </row>
    <row r="988" spans="1:8" x14ac:dyDescent="0.2">
      <c r="A988" s="17">
        <v>45936</v>
      </c>
      <c r="B988" s="18"/>
      <c r="C988" s="19" t="s">
        <v>66</v>
      </c>
      <c r="D988" s="30" t="s">
        <v>318</v>
      </c>
      <c r="E988" s="18" t="s">
        <v>14</v>
      </c>
      <c r="F988" s="31"/>
      <c r="G988" s="31">
        <v>57.23</v>
      </c>
      <c r="H988" s="37">
        <f t="shared" ca="1" si="11"/>
        <v>6897.4320000000107</v>
      </c>
    </row>
    <row r="989" spans="1:8" x14ac:dyDescent="0.2">
      <c r="A989" s="17">
        <v>45943</v>
      </c>
      <c r="B989" s="18"/>
      <c r="C989" s="19" t="s">
        <v>242</v>
      </c>
      <c r="D989" s="30" t="s">
        <v>284</v>
      </c>
      <c r="E989" s="18" t="s">
        <v>14</v>
      </c>
      <c r="F989" s="31">
        <v>106</v>
      </c>
      <c r="G989" s="31"/>
      <c r="H989" s="37">
        <f t="shared" ca="1" si="11"/>
        <v>6791.4320000000107</v>
      </c>
    </row>
    <row r="990" spans="1:8" x14ac:dyDescent="0.2">
      <c r="A990" s="17">
        <v>45943</v>
      </c>
      <c r="B990" s="18"/>
      <c r="C990" s="19" t="s">
        <v>36</v>
      </c>
      <c r="D990" s="30" t="s">
        <v>323</v>
      </c>
      <c r="E990" s="18" t="s">
        <v>14</v>
      </c>
      <c r="F990" s="31">
        <v>395.76</v>
      </c>
      <c r="G990" s="31"/>
      <c r="H990" s="37">
        <f t="shared" ca="1" si="11"/>
        <v>6395.6720000000105</v>
      </c>
    </row>
    <row r="991" spans="1:8" x14ac:dyDescent="0.2">
      <c r="A991" s="17">
        <v>45943</v>
      </c>
      <c r="B991" s="18"/>
      <c r="C991" s="19" t="s">
        <v>36</v>
      </c>
      <c r="D991" s="30" t="s">
        <v>389</v>
      </c>
      <c r="E991" s="18" t="s">
        <v>14</v>
      </c>
      <c r="F991" s="31">
        <v>479</v>
      </c>
      <c r="G991" s="31"/>
      <c r="H991" s="37">
        <f t="shared" ca="1" si="11"/>
        <v>5916.6720000000105</v>
      </c>
    </row>
    <row r="992" spans="1:8" x14ac:dyDescent="0.2">
      <c r="A992" s="17">
        <v>45943</v>
      </c>
      <c r="B992" s="18"/>
      <c r="C992" s="19" t="s">
        <v>16</v>
      </c>
      <c r="D992" s="30" t="s">
        <v>47</v>
      </c>
      <c r="E992" s="18" t="s">
        <v>14</v>
      </c>
      <c r="F992" s="31">
        <v>92.04</v>
      </c>
      <c r="G992" s="31"/>
      <c r="H992" s="37">
        <f t="shared" ca="1" si="11"/>
        <v>5824.6320000000105</v>
      </c>
    </row>
    <row r="993" spans="1:8" x14ac:dyDescent="0.2">
      <c r="A993" s="17">
        <v>45943</v>
      </c>
      <c r="B993" s="18"/>
      <c r="C993" s="19" t="s">
        <v>356</v>
      </c>
      <c r="D993" s="30" t="s">
        <v>385</v>
      </c>
      <c r="E993" s="18" t="s">
        <v>14</v>
      </c>
      <c r="F993" s="31">
        <v>4.26</v>
      </c>
      <c r="G993" s="31"/>
      <c r="H993" s="37">
        <f t="shared" ca="1" si="11"/>
        <v>5820.3720000000103</v>
      </c>
    </row>
    <row r="994" spans="1:8" x14ac:dyDescent="0.2">
      <c r="A994" s="17">
        <v>45943</v>
      </c>
      <c r="B994" s="18"/>
      <c r="C994" s="19" t="s">
        <v>356</v>
      </c>
      <c r="D994" s="30" t="s">
        <v>386</v>
      </c>
      <c r="E994" s="18" t="s">
        <v>14</v>
      </c>
      <c r="F994" s="31">
        <v>16.84</v>
      </c>
      <c r="G994" s="31"/>
      <c r="H994" s="37">
        <f t="shared" ca="1" si="11"/>
        <v>5803.5320000000102</v>
      </c>
    </row>
    <row r="995" spans="1:8" x14ac:dyDescent="0.2">
      <c r="A995" s="17">
        <v>45943</v>
      </c>
      <c r="B995" s="18"/>
      <c r="C995" s="19" t="s">
        <v>58</v>
      </c>
      <c r="D995" s="30" t="s">
        <v>30</v>
      </c>
      <c r="E995" s="18" t="s">
        <v>14</v>
      </c>
      <c r="F995" s="31">
        <v>155.19</v>
      </c>
      <c r="G995" s="31"/>
      <c r="H995" s="37">
        <f t="shared" ca="1" si="11"/>
        <v>5648.3420000000106</v>
      </c>
    </row>
    <row r="996" spans="1:8" x14ac:dyDescent="0.2">
      <c r="A996" s="17">
        <v>45944</v>
      </c>
      <c r="B996" s="18"/>
      <c r="C996" s="19" t="s">
        <v>250</v>
      </c>
      <c r="D996" s="30" t="s">
        <v>32</v>
      </c>
      <c r="E996" s="18" t="s">
        <v>14</v>
      </c>
      <c r="F996" s="31">
        <v>131.69999999999999</v>
      </c>
      <c r="G996" s="31"/>
      <c r="H996" s="37">
        <f t="shared" ca="1" si="11"/>
        <v>5516.6420000000107</v>
      </c>
    </row>
    <row r="997" spans="1:8" x14ac:dyDescent="0.2">
      <c r="A997" s="17">
        <v>45945</v>
      </c>
      <c r="B997" s="18"/>
      <c r="C997" s="19" t="s">
        <v>33</v>
      </c>
      <c r="D997" s="30" t="s">
        <v>40</v>
      </c>
      <c r="E997" s="18" t="s">
        <v>14</v>
      </c>
      <c r="F997" s="31"/>
      <c r="G997" s="31">
        <v>5597.66</v>
      </c>
      <c r="H997" s="37">
        <f t="shared" ca="1" si="11"/>
        <v>11114.302000000011</v>
      </c>
    </row>
    <row r="998" spans="1:8" x14ac:dyDescent="0.2">
      <c r="A998" s="17">
        <v>45946</v>
      </c>
      <c r="B998" s="18"/>
      <c r="C998" s="19" t="s">
        <v>66</v>
      </c>
      <c r="D998" s="30"/>
      <c r="E998" s="18" t="s">
        <v>14</v>
      </c>
      <c r="F998" s="31">
        <v>20</v>
      </c>
      <c r="G998" s="31"/>
      <c r="H998" s="37">
        <f t="shared" ca="1" si="11"/>
        <v>11094.302000000011</v>
      </c>
    </row>
    <row r="999" spans="1:8" x14ac:dyDescent="0.2">
      <c r="A999" s="17">
        <v>45956</v>
      </c>
      <c r="B999" s="18"/>
      <c r="C999" s="19" t="s">
        <v>356</v>
      </c>
      <c r="D999" s="30" t="s">
        <v>386</v>
      </c>
      <c r="E999" s="18" t="s">
        <v>14</v>
      </c>
      <c r="F999" s="31">
        <v>7.45</v>
      </c>
      <c r="G999" s="31"/>
      <c r="H999" s="37">
        <f t="shared" ca="1" si="11"/>
        <v>11086.85200000001</v>
      </c>
    </row>
    <row r="1000" spans="1:8" x14ac:dyDescent="0.2">
      <c r="A1000" s="17">
        <v>45958</v>
      </c>
      <c r="B1000" s="18"/>
      <c r="C1000" s="19" t="s">
        <v>417</v>
      </c>
      <c r="D1000" s="30" t="s">
        <v>38</v>
      </c>
      <c r="E1000" s="18" t="s">
        <v>14</v>
      </c>
      <c r="F1000" s="31">
        <v>0</v>
      </c>
      <c r="G1000" s="31"/>
      <c r="H1000" s="37">
        <f t="shared" ca="1" si="11"/>
        <v>11086.85200000001</v>
      </c>
    </row>
    <row r="1001" spans="1:8" x14ac:dyDescent="0.2">
      <c r="A1001" s="17">
        <v>45959</v>
      </c>
      <c r="B1001" s="18"/>
      <c r="C1001" s="19" t="s">
        <v>250</v>
      </c>
      <c r="D1001" s="30" t="s">
        <v>32</v>
      </c>
      <c r="E1001" s="18" t="s">
        <v>14</v>
      </c>
      <c r="F1001" s="31">
        <v>195.41</v>
      </c>
      <c r="G1001" s="31"/>
      <c r="H1001" s="37">
        <f t="shared" ca="1" si="11"/>
        <v>10891.44200000001</v>
      </c>
    </row>
    <row r="1002" spans="1:8" x14ac:dyDescent="0.2">
      <c r="A1002" s="17">
        <v>45960</v>
      </c>
      <c r="B1002" s="18"/>
      <c r="C1002" s="19" t="s">
        <v>356</v>
      </c>
      <c r="D1002" s="30" t="s">
        <v>385</v>
      </c>
      <c r="E1002" s="18" t="s">
        <v>14</v>
      </c>
      <c r="F1002" s="31">
        <v>2.12</v>
      </c>
      <c r="G1002" s="31"/>
      <c r="H1002" s="37">
        <f t="shared" ca="1" si="11"/>
        <v>10889.322000000009</v>
      </c>
    </row>
    <row r="1003" spans="1:8" x14ac:dyDescent="0.2">
      <c r="A1003" s="17">
        <v>45961</v>
      </c>
      <c r="B1003" s="18"/>
      <c r="C1003" s="19" t="s">
        <v>33</v>
      </c>
      <c r="D1003" s="30" t="s">
        <v>40</v>
      </c>
      <c r="E1003" s="18" t="s">
        <v>14</v>
      </c>
      <c r="F1003" s="31"/>
      <c r="G1003" s="31">
        <v>5597.65</v>
      </c>
      <c r="H1003" s="37">
        <f t="shared" ca="1" si="11"/>
        <v>16486.972000000009</v>
      </c>
    </row>
    <row r="1004" spans="1:8" x14ac:dyDescent="0.2">
      <c r="A1004" s="17">
        <v>45961</v>
      </c>
      <c r="B1004" s="18"/>
      <c r="C1004" s="19" t="s">
        <v>29</v>
      </c>
      <c r="D1004" s="30" t="s">
        <v>45</v>
      </c>
      <c r="E1004" s="18" t="s">
        <v>14</v>
      </c>
      <c r="F1004" s="31">
        <v>158.46</v>
      </c>
      <c r="G1004" s="31"/>
      <c r="H1004" s="37">
        <f t="shared" ca="1" si="11"/>
        <v>16328.51200000001</v>
      </c>
    </row>
    <row r="1005" spans="1:8" x14ac:dyDescent="0.2">
      <c r="A1005" s="17">
        <v>45957</v>
      </c>
      <c r="B1005" s="18"/>
      <c r="C1005" s="19" t="s">
        <v>66</v>
      </c>
      <c r="D1005" s="30"/>
      <c r="E1005" s="18" t="s">
        <v>14</v>
      </c>
      <c r="F1005" s="31">
        <v>10</v>
      </c>
      <c r="G1005" s="31"/>
      <c r="H1005" s="37">
        <f t="shared" ca="1" si="11"/>
        <v>16318.51200000001</v>
      </c>
    </row>
    <row r="1006" spans="1:8" x14ac:dyDescent="0.2">
      <c r="A1006" s="17">
        <v>45961</v>
      </c>
      <c r="B1006" s="18"/>
      <c r="C1006" s="19" t="s">
        <v>28</v>
      </c>
      <c r="D1006" s="30" t="s">
        <v>55</v>
      </c>
      <c r="E1006" s="18" t="s">
        <v>14</v>
      </c>
      <c r="F1006" s="31">
        <v>1278.8499999999999</v>
      </c>
      <c r="G1006" s="31"/>
      <c r="H1006" s="37">
        <f t="shared" ref="H1006:H1069" ca="1" si="12">IF(AND(ISBLANK(F1006),ISBLANK(G1006)),"",OFFSET(H1006,-1,0,1,1)+G1006-F1006)</f>
        <v>15039.662000000009</v>
      </c>
    </row>
    <row r="1007" spans="1:8" x14ac:dyDescent="0.2">
      <c r="A1007" s="17">
        <v>45961</v>
      </c>
      <c r="B1007" s="18"/>
      <c r="C1007" s="19" t="s">
        <v>242</v>
      </c>
      <c r="D1007" s="30" t="s">
        <v>284</v>
      </c>
      <c r="E1007" s="18" t="s">
        <v>14</v>
      </c>
      <c r="F1007" s="31">
        <v>106</v>
      </c>
      <c r="G1007" s="31"/>
      <c r="H1007" s="37">
        <f t="shared" ca="1" si="12"/>
        <v>14933.662000000009</v>
      </c>
    </row>
    <row r="1008" spans="1:8" x14ac:dyDescent="0.2">
      <c r="A1008" s="17">
        <v>45966</v>
      </c>
      <c r="B1008" s="18"/>
      <c r="C1008" s="19" t="s">
        <v>271</v>
      </c>
      <c r="D1008" s="30" t="s">
        <v>47</v>
      </c>
      <c r="E1008" s="18" t="s">
        <v>14</v>
      </c>
      <c r="F1008" s="31">
        <v>3964.39</v>
      </c>
      <c r="G1008" s="31"/>
      <c r="H1008" s="37">
        <f t="shared" ca="1" si="12"/>
        <v>10969.27200000001</v>
      </c>
    </row>
    <row r="1009" spans="1:8" x14ac:dyDescent="0.2">
      <c r="A1009" s="17">
        <v>45971</v>
      </c>
      <c r="B1009" s="18"/>
      <c r="C1009" s="19" t="s">
        <v>271</v>
      </c>
      <c r="D1009" s="30" t="s">
        <v>47</v>
      </c>
      <c r="E1009" s="18" t="s">
        <v>14</v>
      </c>
      <c r="F1009" s="31">
        <v>3894.58</v>
      </c>
      <c r="G1009" s="31"/>
      <c r="H1009" s="37">
        <f t="shared" ca="1" si="12"/>
        <v>7074.69200000001</v>
      </c>
    </row>
    <row r="1010" spans="1:8" x14ac:dyDescent="0.2">
      <c r="A1010" s="17">
        <v>45971</v>
      </c>
      <c r="B1010" s="18"/>
      <c r="C1010" s="19" t="s">
        <v>356</v>
      </c>
      <c r="D1010" s="30" t="s">
        <v>385</v>
      </c>
      <c r="E1010" s="18" t="s">
        <v>14</v>
      </c>
      <c r="F1010" s="31">
        <v>108.03</v>
      </c>
      <c r="G1010" s="31"/>
      <c r="H1010" s="37">
        <f t="shared" ca="1" si="12"/>
        <v>6966.6620000000103</v>
      </c>
    </row>
    <row r="1011" spans="1:8" x14ac:dyDescent="0.2">
      <c r="A1011" s="17">
        <v>45971</v>
      </c>
      <c r="B1011" s="18"/>
      <c r="C1011" s="19" t="s">
        <v>356</v>
      </c>
      <c r="D1011" s="30" t="s">
        <v>386</v>
      </c>
      <c r="E1011" s="18" t="s">
        <v>14</v>
      </c>
      <c r="F1011" s="31">
        <v>24.21</v>
      </c>
      <c r="G1011" s="31"/>
      <c r="H1011" s="37">
        <f t="shared" ca="1" si="12"/>
        <v>6942.4520000000102</v>
      </c>
    </row>
    <row r="1012" spans="1:8" x14ac:dyDescent="0.2">
      <c r="A1012" s="17">
        <v>45964</v>
      </c>
      <c r="B1012" s="18"/>
      <c r="C1012" s="19" t="s">
        <v>66</v>
      </c>
      <c r="D1012" s="30" t="s">
        <v>318</v>
      </c>
      <c r="E1012" s="18" t="s">
        <v>14</v>
      </c>
      <c r="F1012" s="31"/>
      <c r="G1012" s="31">
        <v>53.65</v>
      </c>
      <c r="H1012" s="37">
        <f t="shared" ca="1" si="12"/>
        <v>6996.1020000000099</v>
      </c>
    </row>
    <row r="1013" spans="1:8" x14ac:dyDescent="0.2">
      <c r="A1013" s="17">
        <v>45975</v>
      </c>
      <c r="B1013" s="18"/>
      <c r="C1013" s="19" t="s">
        <v>33</v>
      </c>
      <c r="D1013" s="30" t="s">
        <v>40</v>
      </c>
      <c r="E1013" s="18" t="s">
        <v>14</v>
      </c>
      <c r="F1013" s="31"/>
      <c r="G1013" s="31">
        <v>5597.67</v>
      </c>
      <c r="H1013" s="37">
        <f t="shared" ca="1" si="12"/>
        <v>12593.77200000001</v>
      </c>
    </row>
    <row r="1014" spans="1:8" x14ac:dyDescent="0.2">
      <c r="A1014" s="17">
        <v>45975</v>
      </c>
      <c r="B1014" s="18"/>
      <c r="C1014" s="19" t="s">
        <v>66</v>
      </c>
      <c r="D1014" s="30"/>
      <c r="E1014" s="18" t="s">
        <v>14</v>
      </c>
      <c r="F1014" s="31"/>
      <c r="G1014" s="31">
        <v>8.59</v>
      </c>
      <c r="H1014" s="37">
        <f t="shared" ca="1" si="12"/>
        <v>12602.36200000001</v>
      </c>
    </row>
    <row r="1015" spans="1:8" x14ac:dyDescent="0.2">
      <c r="A1015" s="17">
        <v>45975</v>
      </c>
      <c r="B1015" s="18"/>
      <c r="C1015" s="19" t="s">
        <v>36</v>
      </c>
      <c r="D1015" s="30" t="s">
        <v>323</v>
      </c>
      <c r="E1015" s="18" t="s">
        <v>14</v>
      </c>
      <c r="F1015" s="31">
        <v>395.76</v>
      </c>
      <c r="G1015" s="31"/>
      <c r="H1015" s="37">
        <f t="shared" ca="1" si="12"/>
        <v>12206.60200000001</v>
      </c>
    </row>
    <row r="1016" spans="1:8" x14ac:dyDescent="0.2">
      <c r="A1016" s="17">
        <v>45975</v>
      </c>
      <c r="B1016" s="18"/>
      <c r="C1016" s="19" t="s">
        <v>36</v>
      </c>
      <c r="D1016" s="30" t="s">
        <v>389</v>
      </c>
      <c r="E1016" s="18" t="s">
        <v>14</v>
      </c>
      <c r="F1016" s="31">
        <v>479</v>
      </c>
      <c r="G1016" s="31"/>
      <c r="H1016" s="37">
        <f t="shared" ca="1" si="12"/>
        <v>11727.60200000001</v>
      </c>
    </row>
    <row r="1017" spans="1:8" x14ac:dyDescent="0.2">
      <c r="A1017" s="17">
        <v>45975</v>
      </c>
      <c r="B1017" s="18"/>
      <c r="C1017" s="19" t="s">
        <v>16</v>
      </c>
      <c r="D1017" s="30" t="s">
        <v>47</v>
      </c>
      <c r="E1017" s="18" t="s">
        <v>14</v>
      </c>
      <c r="F1017" s="31">
        <v>293.08999999999997</v>
      </c>
      <c r="G1017" s="31"/>
      <c r="H1017" s="37">
        <f t="shared" ca="1" si="12"/>
        <v>11434.51200000001</v>
      </c>
    </row>
    <row r="1018" spans="1:8" x14ac:dyDescent="0.2">
      <c r="A1018" s="17">
        <v>45988</v>
      </c>
      <c r="B1018" s="18"/>
      <c r="C1018" s="19" t="s">
        <v>33</v>
      </c>
      <c r="D1018" s="30" t="s">
        <v>40</v>
      </c>
      <c r="E1018" s="18" t="s">
        <v>14</v>
      </c>
      <c r="F1018" s="31"/>
      <c r="G1018" s="31">
        <v>5597.67</v>
      </c>
      <c r="H1018" s="37">
        <f t="shared" ca="1" si="12"/>
        <v>17032.182000000008</v>
      </c>
    </row>
    <row r="1019" spans="1:8" x14ac:dyDescent="0.2">
      <c r="A1019" s="17">
        <v>45988</v>
      </c>
      <c r="B1019" s="18"/>
      <c r="C1019" s="19" t="s">
        <v>271</v>
      </c>
      <c r="D1019" s="30" t="s">
        <v>47</v>
      </c>
      <c r="E1019" s="18" t="s">
        <v>14</v>
      </c>
      <c r="F1019" s="31">
        <v>4397.59</v>
      </c>
      <c r="G1019" s="31"/>
      <c r="H1019" s="37">
        <f t="shared" ca="1" si="12"/>
        <v>12634.592000000008</v>
      </c>
    </row>
    <row r="1020" spans="1:8" x14ac:dyDescent="0.2">
      <c r="A1020" s="17">
        <v>45991</v>
      </c>
      <c r="B1020" s="18"/>
      <c r="C1020" s="19" t="s">
        <v>28</v>
      </c>
      <c r="D1020" s="30" t="s">
        <v>55</v>
      </c>
      <c r="E1020" s="18" t="s">
        <v>14</v>
      </c>
      <c r="F1020" s="31">
        <v>1278.8499999999999</v>
      </c>
      <c r="G1020" s="31"/>
      <c r="H1020" s="37">
        <f t="shared" ca="1" si="12"/>
        <v>11355.742000000007</v>
      </c>
    </row>
    <row r="1021" spans="1:8" x14ac:dyDescent="0.2">
      <c r="A1021" s="17">
        <v>45991</v>
      </c>
      <c r="B1021" s="18"/>
      <c r="C1021" s="19" t="s">
        <v>66</v>
      </c>
      <c r="D1021" s="30" t="s">
        <v>418</v>
      </c>
      <c r="E1021" s="18" t="s">
        <v>14</v>
      </c>
      <c r="F1021" s="31"/>
      <c r="G1021" s="31">
        <v>286.77999999999997</v>
      </c>
      <c r="H1021" s="37">
        <f t="shared" ca="1" si="12"/>
        <v>11642.522000000008</v>
      </c>
    </row>
    <row r="1022" spans="1:8" x14ac:dyDescent="0.2">
      <c r="A1022" s="17">
        <v>45991</v>
      </c>
      <c r="B1022" s="18"/>
      <c r="C1022" s="19" t="s">
        <v>29</v>
      </c>
      <c r="D1022" s="30" t="s">
        <v>45</v>
      </c>
      <c r="E1022" s="18" t="s">
        <v>14</v>
      </c>
      <c r="F1022" s="31">
        <v>158.47</v>
      </c>
      <c r="G1022" s="31"/>
      <c r="H1022" s="37">
        <f t="shared" ca="1" si="12"/>
        <v>11484.052000000009</v>
      </c>
    </row>
    <row r="1023" spans="1:8" x14ac:dyDescent="0.2">
      <c r="A1023" s="17">
        <v>45989</v>
      </c>
      <c r="B1023" s="18"/>
      <c r="C1023" s="19" t="s">
        <v>66</v>
      </c>
      <c r="D1023" s="30"/>
      <c r="E1023" s="18" t="s">
        <v>14</v>
      </c>
      <c r="F1023" s="31"/>
      <c r="G1023" s="31">
        <v>12</v>
      </c>
      <c r="H1023" s="37">
        <f t="shared" ca="1" si="12"/>
        <v>11496.052000000009</v>
      </c>
    </row>
    <row r="1024" spans="1:8" x14ac:dyDescent="0.2">
      <c r="A1024" s="17">
        <v>45992</v>
      </c>
      <c r="B1024" s="18"/>
      <c r="C1024" s="19" t="s">
        <v>66</v>
      </c>
      <c r="D1024" s="30" t="s">
        <v>318</v>
      </c>
      <c r="E1024" s="18" t="s">
        <v>14</v>
      </c>
      <c r="F1024" s="31"/>
      <c r="G1024" s="31">
        <v>58.47</v>
      </c>
      <c r="H1024" s="37">
        <f t="shared" ca="1" si="12"/>
        <v>11554.522000000008</v>
      </c>
    </row>
    <row r="1025" spans="1:8" x14ac:dyDescent="0.2">
      <c r="A1025" s="17">
        <v>45994</v>
      </c>
      <c r="B1025" s="18"/>
      <c r="C1025" s="19" t="s">
        <v>250</v>
      </c>
      <c r="D1025" s="30" t="s">
        <v>32</v>
      </c>
      <c r="E1025" s="18" t="s">
        <v>14</v>
      </c>
      <c r="F1025" s="31">
        <v>338.32</v>
      </c>
      <c r="G1025" s="31"/>
      <c r="H1025" s="37">
        <f t="shared" ca="1" si="12"/>
        <v>11216.202000000008</v>
      </c>
    </row>
    <row r="1026" spans="1:8" x14ac:dyDescent="0.2">
      <c r="A1026" s="17">
        <v>45996</v>
      </c>
      <c r="B1026" s="18"/>
      <c r="C1026" s="19" t="s">
        <v>356</v>
      </c>
      <c r="D1026" s="30" t="s">
        <v>386</v>
      </c>
      <c r="E1026" s="18" t="s">
        <v>14</v>
      </c>
      <c r="F1026" s="31">
        <v>3.19</v>
      </c>
      <c r="G1026" s="31"/>
      <c r="H1026" s="37">
        <f t="shared" ca="1" si="12"/>
        <v>11213.012000000008</v>
      </c>
    </row>
    <row r="1027" spans="1:8" x14ac:dyDescent="0.2">
      <c r="A1027" s="17">
        <v>45999</v>
      </c>
      <c r="B1027" s="18"/>
      <c r="C1027" s="19" t="s">
        <v>271</v>
      </c>
      <c r="D1027" s="30" t="s">
        <v>47</v>
      </c>
      <c r="E1027" s="18" t="s">
        <v>14</v>
      </c>
      <c r="F1027" s="31">
        <v>2769.15</v>
      </c>
      <c r="G1027" s="31"/>
      <c r="H1027" s="37">
        <f t="shared" ca="1" si="12"/>
        <v>8443.8620000000083</v>
      </c>
    </row>
    <row r="1028" spans="1:8" x14ac:dyDescent="0.2">
      <c r="A1028" s="17">
        <v>45994</v>
      </c>
      <c r="B1028" s="18"/>
      <c r="C1028" s="19" t="s">
        <v>66</v>
      </c>
      <c r="D1028" s="30" t="s">
        <v>419</v>
      </c>
      <c r="E1028" s="18" t="s">
        <v>14</v>
      </c>
      <c r="F1028" s="31">
        <v>30</v>
      </c>
      <c r="G1028" s="31"/>
      <c r="H1028" s="37">
        <f t="shared" ca="1" si="12"/>
        <v>8413.8620000000083</v>
      </c>
    </row>
    <row r="1029" spans="1:8" x14ac:dyDescent="0.2">
      <c r="A1029" s="17">
        <v>46005</v>
      </c>
      <c r="B1029" s="18"/>
      <c r="C1029" s="19" t="s">
        <v>33</v>
      </c>
      <c r="D1029" s="30" t="s">
        <v>40</v>
      </c>
      <c r="E1029" s="18" t="s">
        <v>14</v>
      </c>
      <c r="F1029" s="31"/>
      <c r="G1029" s="31">
        <v>5597.66</v>
      </c>
      <c r="H1029" s="37">
        <f t="shared" ca="1" si="12"/>
        <v>14011.522000000008</v>
      </c>
    </row>
    <row r="1030" spans="1:8" x14ac:dyDescent="0.2">
      <c r="A1030" s="17">
        <v>46005</v>
      </c>
      <c r="B1030" s="18"/>
      <c r="C1030" s="19" t="s">
        <v>242</v>
      </c>
      <c r="D1030" s="30" t="s">
        <v>284</v>
      </c>
      <c r="E1030" s="18" t="s">
        <v>14</v>
      </c>
      <c r="F1030" s="31">
        <v>106</v>
      </c>
      <c r="G1030" s="31"/>
      <c r="H1030" s="37">
        <f t="shared" ca="1" si="12"/>
        <v>13905.522000000008</v>
      </c>
    </row>
    <row r="1031" spans="1:8" x14ac:dyDescent="0.2">
      <c r="A1031" s="17">
        <v>46005</v>
      </c>
      <c r="B1031" s="18"/>
      <c r="C1031" s="19" t="s">
        <v>36</v>
      </c>
      <c r="D1031" s="30" t="s">
        <v>389</v>
      </c>
      <c r="E1031" s="18" t="s">
        <v>14</v>
      </c>
      <c r="F1031" s="31">
        <v>479</v>
      </c>
      <c r="G1031" s="31"/>
      <c r="H1031" s="37">
        <f t="shared" ca="1" si="12"/>
        <v>13426.522000000008</v>
      </c>
    </row>
    <row r="1032" spans="1:8" x14ac:dyDescent="0.2">
      <c r="A1032" s="17">
        <v>46005</v>
      </c>
      <c r="B1032" s="18"/>
      <c r="C1032" s="19" t="s">
        <v>36</v>
      </c>
      <c r="D1032" s="30" t="s">
        <v>323</v>
      </c>
      <c r="E1032" s="18" t="s">
        <v>14</v>
      </c>
      <c r="F1032" s="31">
        <v>395.76</v>
      </c>
      <c r="G1032" s="31"/>
      <c r="H1032" s="37">
        <f t="shared" ca="1" si="12"/>
        <v>13030.762000000008</v>
      </c>
    </row>
    <row r="1033" spans="1:8" x14ac:dyDescent="0.2">
      <c r="A1033" s="17">
        <v>46005</v>
      </c>
      <c r="B1033" s="18"/>
      <c r="C1033" s="19" t="s">
        <v>16</v>
      </c>
      <c r="D1033" s="30" t="s">
        <v>47</v>
      </c>
      <c r="E1033" s="18" t="s">
        <v>14</v>
      </c>
      <c r="F1033" s="31">
        <v>172.12</v>
      </c>
      <c r="G1033" s="31"/>
      <c r="H1033" s="37">
        <f t="shared" ca="1" si="12"/>
        <v>12858.642000000007</v>
      </c>
    </row>
    <row r="1034" spans="1:8" x14ac:dyDescent="0.2">
      <c r="A1034" s="17">
        <v>46005</v>
      </c>
      <c r="B1034" s="18"/>
      <c r="C1034" s="19" t="s">
        <v>356</v>
      </c>
      <c r="D1034" s="30" t="s">
        <v>385</v>
      </c>
      <c r="E1034" s="18" t="s">
        <v>14</v>
      </c>
      <c r="F1034" s="31">
        <v>4.26</v>
      </c>
      <c r="G1034" s="31"/>
      <c r="H1034" s="37">
        <f t="shared" ca="1" si="12"/>
        <v>12854.382000000007</v>
      </c>
    </row>
    <row r="1035" spans="1:8" x14ac:dyDescent="0.2">
      <c r="A1035" s="17">
        <v>46005</v>
      </c>
      <c r="B1035" s="18"/>
      <c r="C1035" s="19" t="s">
        <v>356</v>
      </c>
      <c r="D1035" s="30" t="s">
        <v>386</v>
      </c>
      <c r="E1035" s="18" t="s">
        <v>14</v>
      </c>
      <c r="F1035" s="31">
        <v>14.99</v>
      </c>
      <c r="G1035" s="31"/>
      <c r="H1035" s="37">
        <f t="shared" ca="1" si="12"/>
        <v>12839.392000000007</v>
      </c>
    </row>
    <row r="1036" spans="1:8" x14ac:dyDescent="0.2">
      <c r="A1036" s="17">
        <v>46010</v>
      </c>
      <c r="B1036" s="18"/>
      <c r="C1036" s="19" t="s">
        <v>271</v>
      </c>
      <c r="D1036" s="30" t="s">
        <v>47</v>
      </c>
      <c r="E1036" s="18" t="s">
        <v>14</v>
      </c>
      <c r="F1036" s="31">
        <v>3543.51</v>
      </c>
      <c r="G1036" s="31"/>
      <c r="H1036" s="37">
        <f t="shared" ca="1" si="12"/>
        <v>9295.8820000000069</v>
      </c>
    </row>
    <row r="1037" spans="1:8" x14ac:dyDescent="0.2">
      <c r="A1037" s="17">
        <v>46013</v>
      </c>
      <c r="B1037" s="18"/>
      <c r="C1037" s="19" t="s">
        <v>66</v>
      </c>
      <c r="D1037" s="30" t="s">
        <v>420</v>
      </c>
      <c r="E1037" s="18" t="s">
        <v>14</v>
      </c>
      <c r="F1037" s="31"/>
      <c r="G1037" s="31">
        <v>103.18</v>
      </c>
      <c r="H1037" s="37">
        <f t="shared" ca="1" si="12"/>
        <v>9399.0620000000072</v>
      </c>
    </row>
    <row r="1038" spans="1:8" x14ac:dyDescent="0.2">
      <c r="A1038" s="17">
        <v>46022</v>
      </c>
      <c r="B1038" s="18"/>
      <c r="C1038" s="19" t="s">
        <v>33</v>
      </c>
      <c r="D1038" s="30" t="s">
        <v>40</v>
      </c>
      <c r="E1038" s="18" t="s">
        <v>14</v>
      </c>
      <c r="F1038" s="31"/>
      <c r="G1038" s="31">
        <v>5597.65</v>
      </c>
      <c r="H1038" s="37">
        <f t="shared" ca="1" si="12"/>
        <v>14996.712000000007</v>
      </c>
    </row>
    <row r="1039" spans="1:8" x14ac:dyDescent="0.2">
      <c r="A1039" s="17">
        <v>46016</v>
      </c>
      <c r="B1039" s="18"/>
      <c r="C1039" s="19" t="s">
        <v>66</v>
      </c>
      <c r="D1039" s="30" t="s">
        <v>341</v>
      </c>
      <c r="E1039" s="18" t="s">
        <v>14</v>
      </c>
      <c r="F1039" s="31">
        <v>250</v>
      </c>
      <c r="G1039" s="31"/>
      <c r="H1039" s="37">
        <f t="shared" ca="1" si="12"/>
        <v>14746.712000000007</v>
      </c>
    </row>
    <row r="1040" spans="1:8" x14ac:dyDescent="0.2">
      <c r="A1040" s="17">
        <v>46021</v>
      </c>
      <c r="B1040" s="18"/>
      <c r="C1040" s="19" t="s">
        <v>28</v>
      </c>
      <c r="D1040" s="30" t="s">
        <v>55</v>
      </c>
      <c r="E1040" s="18" t="s">
        <v>14</v>
      </c>
      <c r="F1040" s="31">
        <v>1278.8499999999999</v>
      </c>
      <c r="G1040" s="31"/>
      <c r="H1040" s="37">
        <f t="shared" ca="1" si="12"/>
        <v>13467.862000000006</v>
      </c>
    </row>
    <row r="1041" spans="1:8" x14ac:dyDescent="0.2">
      <c r="A1041" s="17">
        <v>46022</v>
      </c>
      <c r="B1041" s="18"/>
      <c r="C1041" s="19" t="s">
        <v>250</v>
      </c>
      <c r="D1041" s="30" t="s">
        <v>32</v>
      </c>
      <c r="E1041" s="18" t="s">
        <v>14</v>
      </c>
      <c r="F1041" s="31">
        <v>335.71</v>
      </c>
      <c r="G1041" s="31"/>
      <c r="H1041" s="37">
        <f t="shared" ca="1" si="12"/>
        <v>13132.152000000007</v>
      </c>
    </row>
    <row r="1042" spans="1:8" x14ac:dyDescent="0.2">
      <c r="A1042" s="17">
        <v>46022</v>
      </c>
      <c r="B1042" s="18"/>
      <c r="C1042" s="19" t="s">
        <v>29</v>
      </c>
      <c r="D1042" s="30" t="s">
        <v>45</v>
      </c>
      <c r="E1042" s="18" t="s">
        <v>14</v>
      </c>
      <c r="F1042" s="31">
        <v>158.47</v>
      </c>
      <c r="G1042" s="31"/>
      <c r="H1042" s="37">
        <f t="shared" ca="1" si="12"/>
        <v>12973.682000000008</v>
      </c>
    </row>
    <row r="1043" spans="1:8" x14ac:dyDescent="0.2">
      <c r="A1043" s="17">
        <v>46031</v>
      </c>
      <c r="B1043" s="18"/>
      <c r="C1043" s="19" t="s">
        <v>271</v>
      </c>
      <c r="D1043" s="30" t="s">
        <v>47</v>
      </c>
      <c r="E1043" s="18" t="s">
        <v>14</v>
      </c>
      <c r="F1043" s="31">
        <v>3031.1</v>
      </c>
      <c r="G1043" s="31"/>
      <c r="H1043" s="37">
        <f t="shared" ca="1" si="12"/>
        <v>9942.5820000000076</v>
      </c>
    </row>
    <row r="1044" spans="1:8" x14ac:dyDescent="0.2">
      <c r="A1044" s="17">
        <v>46031</v>
      </c>
      <c r="B1044" s="18"/>
      <c r="C1044" s="19" t="s">
        <v>242</v>
      </c>
      <c r="D1044" s="30" t="s">
        <v>284</v>
      </c>
      <c r="E1044" s="18" t="s">
        <v>14</v>
      </c>
      <c r="F1044" s="31">
        <v>106</v>
      </c>
      <c r="G1044" s="31"/>
      <c r="H1044" s="37">
        <f t="shared" ca="1" si="12"/>
        <v>9836.5820000000076</v>
      </c>
    </row>
    <row r="1045" spans="1:8" x14ac:dyDescent="0.2">
      <c r="A1045" s="17">
        <v>46035</v>
      </c>
      <c r="B1045" s="18">
        <v>1423</v>
      </c>
      <c r="C1045" s="19" t="s">
        <v>295</v>
      </c>
      <c r="D1045" s="30"/>
      <c r="E1045" s="18" t="s">
        <v>14</v>
      </c>
      <c r="F1045" s="31">
        <v>25</v>
      </c>
      <c r="G1045" s="31"/>
      <c r="H1045" s="37">
        <f t="shared" ca="1" si="12"/>
        <v>9811.5820000000076</v>
      </c>
    </row>
    <row r="1046" spans="1:8" x14ac:dyDescent="0.2">
      <c r="A1046" s="17">
        <v>46027</v>
      </c>
      <c r="B1046" s="18"/>
      <c r="C1046" s="19" t="s">
        <v>66</v>
      </c>
      <c r="D1046" s="30" t="s">
        <v>318</v>
      </c>
      <c r="E1046" s="18" t="s">
        <v>14</v>
      </c>
      <c r="F1046" s="31"/>
      <c r="G1046" s="31">
        <v>58.47</v>
      </c>
      <c r="H1046" s="37">
        <f t="shared" ca="1" si="12"/>
        <v>9870.052000000007</v>
      </c>
    </row>
    <row r="1047" spans="1:8" x14ac:dyDescent="0.2">
      <c r="A1047" s="17">
        <v>46037</v>
      </c>
      <c r="B1047" s="18"/>
      <c r="C1047" s="19" t="s">
        <v>33</v>
      </c>
      <c r="D1047" s="30" t="s">
        <v>40</v>
      </c>
      <c r="E1047" s="18" t="s">
        <v>14</v>
      </c>
      <c r="F1047" s="31"/>
      <c r="G1047" s="31">
        <v>5607.23</v>
      </c>
      <c r="H1047" s="37">
        <f t="shared" ca="1" si="12"/>
        <v>15477.282000000007</v>
      </c>
    </row>
    <row r="1048" spans="1:8" x14ac:dyDescent="0.2">
      <c r="A1048" s="17">
        <v>46037</v>
      </c>
      <c r="B1048" s="18"/>
      <c r="C1048" s="19" t="s">
        <v>36</v>
      </c>
      <c r="D1048" s="30" t="s">
        <v>323</v>
      </c>
      <c r="E1048" s="18" t="s">
        <v>14</v>
      </c>
      <c r="F1048" s="31">
        <v>395.76</v>
      </c>
      <c r="G1048" s="31"/>
      <c r="H1048" s="37">
        <f t="shared" ca="1" si="12"/>
        <v>15081.522000000006</v>
      </c>
    </row>
    <row r="1049" spans="1:8" x14ac:dyDescent="0.2">
      <c r="A1049" s="17">
        <v>46037</v>
      </c>
      <c r="B1049" s="18"/>
      <c r="C1049" s="19" t="s">
        <v>36</v>
      </c>
      <c r="D1049" s="30" t="s">
        <v>389</v>
      </c>
      <c r="E1049" s="18" t="s">
        <v>14</v>
      </c>
      <c r="F1049" s="31">
        <v>479</v>
      </c>
      <c r="G1049" s="31"/>
      <c r="H1049" s="37">
        <f t="shared" ca="1" si="12"/>
        <v>14602.522000000006</v>
      </c>
    </row>
    <row r="1050" spans="1:8" x14ac:dyDescent="0.2">
      <c r="A1050" s="17">
        <v>46037</v>
      </c>
      <c r="B1050" s="18"/>
      <c r="C1050" s="19" t="s">
        <v>16</v>
      </c>
      <c r="D1050" s="30" t="s">
        <v>47</v>
      </c>
      <c r="E1050" s="18" t="s">
        <v>14</v>
      </c>
      <c r="F1050" s="31">
        <v>217.92</v>
      </c>
      <c r="G1050" s="31"/>
      <c r="H1050" s="37">
        <f t="shared" ca="1" si="12"/>
        <v>14384.602000000006</v>
      </c>
    </row>
    <row r="1051" spans="1:8" x14ac:dyDescent="0.2">
      <c r="A1051" s="17">
        <v>46037</v>
      </c>
      <c r="B1051" s="18"/>
      <c r="C1051" s="19" t="s">
        <v>356</v>
      </c>
      <c r="D1051" s="30" t="s">
        <v>385</v>
      </c>
      <c r="E1051" s="18" t="s">
        <v>14</v>
      </c>
      <c r="F1051" s="31">
        <v>4.26</v>
      </c>
      <c r="G1051" s="31"/>
      <c r="H1051" s="37">
        <f t="shared" ca="1" si="12"/>
        <v>14380.342000000006</v>
      </c>
    </row>
    <row r="1052" spans="1:8" x14ac:dyDescent="0.2">
      <c r="A1052" s="17">
        <v>46037</v>
      </c>
      <c r="B1052" s="18"/>
      <c r="C1052" s="19" t="s">
        <v>356</v>
      </c>
      <c r="D1052" s="30" t="s">
        <v>386</v>
      </c>
      <c r="E1052" s="18" t="s">
        <v>14</v>
      </c>
      <c r="F1052" s="31">
        <v>12.3</v>
      </c>
      <c r="G1052" s="31"/>
      <c r="H1052" s="37">
        <f t="shared" ca="1" si="12"/>
        <v>14368.042000000007</v>
      </c>
    </row>
    <row r="1053" spans="1:8" x14ac:dyDescent="0.2">
      <c r="A1053" s="17">
        <v>46037</v>
      </c>
      <c r="B1053" s="18"/>
      <c r="C1053" s="19" t="s">
        <v>271</v>
      </c>
      <c r="D1053" s="30" t="s">
        <v>47</v>
      </c>
      <c r="E1053" s="18" t="s">
        <v>14</v>
      </c>
      <c r="F1053" s="31">
        <v>950.34</v>
      </c>
      <c r="G1053" s="31"/>
      <c r="H1053" s="37">
        <f t="shared" ca="1" si="12"/>
        <v>13417.702000000007</v>
      </c>
    </row>
    <row r="1054" spans="1:8" x14ac:dyDescent="0.2">
      <c r="A1054" s="17">
        <v>46045</v>
      </c>
      <c r="B1054" s="18"/>
      <c r="C1054" s="19" t="s">
        <v>356</v>
      </c>
      <c r="D1054" s="30" t="s">
        <v>386</v>
      </c>
      <c r="E1054" s="18" t="s">
        <v>14</v>
      </c>
      <c r="F1054" s="31">
        <v>13.97</v>
      </c>
      <c r="G1054" s="31"/>
      <c r="H1054" s="37">
        <f t="shared" ca="1" si="12"/>
        <v>13403.732000000007</v>
      </c>
    </row>
    <row r="1055" spans="1:8" x14ac:dyDescent="0.2">
      <c r="A1055" s="17">
        <v>46049</v>
      </c>
      <c r="B1055" s="18"/>
      <c r="C1055" s="19" t="s">
        <v>33</v>
      </c>
      <c r="D1055" s="30" t="s">
        <v>34</v>
      </c>
      <c r="E1055" s="18" t="s">
        <v>14</v>
      </c>
      <c r="F1055" s="31">
        <v>230</v>
      </c>
      <c r="G1055" s="31"/>
      <c r="H1055" s="37">
        <f t="shared" ca="1" si="12"/>
        <v>13173.732000000007</v>
      </c>
    </row>
    <row r="1056" spans="1:8" x14ac:dyDescent="0.2">
      <c r="A1056" s="17">
        <v>46052</v>
      </c>
      <c r="B1056" s="18"/>
      <c r="C1056" s="19" t="s">
        <v>33</v>
      </c>
      <c r="D1056" s="30" t="s">
        <v>40</v>
      </c>
      <c r="E1056" s="18" t="s">
        <v>14</v>
      </c>
      <c r="F1056" s="31"/>
      <c r="G1056" s="31">
        <v>5607.23</v>
      </c>
      <c r="H1056" s="37">
        <f t="shared" ca="1" si="12"/>
        <v>18780.962000000007</v>
      </c>
    </row>
    <row r="1057" spans="1:8" x14ac:dyDescent="0.2">
      <c r="A1057" s="17">
        <v>46052</v>
      </c>
      <c r="B1057" s="18"/>
      <c r="C1057" s="19" t="s">
        <v>28</v>
      </c>
      <c r="D1057" s="30" t="s">
        <v>55</v>
      </c>
      <c r="E1057" s="18" t="s">
        <v>14</v>
      </c>
      <c r="F1057" s="31">
        <v>1278.8499999999999</v>
      </c>
      <c r="G1057" s="31"/>
      <c r="H1057" s="37">
        <f t="shared" ca="1" si="12"/>
        <v>17502.112000000008</v>
      </c>
    </row>
    <row r="1058" spans="1:8" x14ac:dyDescent="0.2">
      <c r="A1058" s="17">
        <v>46052</v>
      </c>
      <c r="B1058" s="18"/>
      <c r="C1058" s="19" t="s">
        <v>29</v>
      </c>
      <c r="D1058" s="30" t="s">
        <v>45</v>
      </c>
      <c r="E1058" s="18" t="s">
        <v>14</v>
      </c>
      <c r="F1058" s="31">
        <v>158.38999999999999</v>
      </c>
      <c r="G1058" s="31"/>
      <c r="H1058" s="37">
        <f t="shared" ca="1" si="12"/>
        <v>17343.722000000009</v>
      </c>
    </row>
    <row r="1059" spans="1:8" x14ac:dyDescent="0.2">
      <c r="A1059" s="17">
        <v>46052</v>
      </c>
      <c r="B1059" s="18"/>
      <c r="C1059" s="19" t="s">
        <v>271</v>
      </c>
      <c r="D1059" s="30" t="s">
        <v>47</v>
      </c>
      <c r="E1059" s="18" t="s">
        <v>14</v>
      </c>
      <c r="F1059" s="31">
        <v>2385.27</v>
      </c>
      <c r="G1059" s="31"/>
      <c r="H1059" s="37">
        <f t="shared" ca="1" si="12"/>
        <v>14958.452000000008</v>
      </c>
    </row>
    <row r="1060" spans="1:8" x14ac:dyDescent="0.2">
      <c r="A1060" s="17">
        <v>46055</v>
      </c>
      <c r="B1060" s="18"/>
      <c r="C1060" s="19" t="s">
        <v>66</v>
      </c>
      <c r="D1060" s="30" t="s">
        <v>318</v>
      </c>
      <c r="E1060" s="18" t="s">
        <v>14</v>
      </c>
      <c r="F1060" s="31"/>
      <c r="G1060" s="31">
        <v>58.39</v>
      </c>
      <c r="H1060" s="37">
        <f t="shared" ca="1" si="12"/>
        <v>15016.842000000008</v>
      </c>
    </row>
    <row r="1061" spans="1:8" x14ac:dyDescent="0.2">
      <c r="A1061" s="17">
        <v>46062</v>
      </c>
      <c r="B1061" s="18"/>
      <c r="C1061" s="19" t="s">
        <v>271</v>
      </c>
      <c r="D1061" s="30" t="s">
        <v>47</v>
      </c>
      <c r="E1061" s="18" t="s">
        <v>14</v>
      </c>
      <c r="F1061" s="31">
        <v>1542.36</v>
      </c>
      <c r="G1061" s="31"/>
      <c r="H1061" s="37">
        <f t="shared" ca="1" si="12"/>
        <v>13474.482000000007</v>
      </c>
    </row>
    <row r="1062" spans="1:8" x14ac:dyDescent="0.2">
      <c r="A1062" s="17">
        <v>46062</v>
      </c>
      <c r="B1062" s="18"/>
      <c r="C1062" s="19" t="s">
        <v>421</v>
      </c>
      <c r="D1062" s="30" t="s">
        <v>422</v>
      </c>
      <c r="E1062" s="18" t="s">
        <v>14</v>
      </c>
      <c r="F1062" s="31">
        <v>832</v>
      </c>
      <c r="G1062" s="31"/>
      <c r="H1062" s="37">
        <f t="shared" ca="1" si="12"/>
        <v>12642.482000000007</v>
      </c>
    </row>
    <row r="1063" spans="1:8" x14ac:dyDescent="0.2">
      <c r="A1063" s="17">
        <v>46062</v>
      </c>
      <c r="B1063" s="18"/>
      <c r="C1063" s="19" t="s">
        <v>250</v>
      </c>
      <c r="D1063" s="30" t="s">
        <v>32</v>
      </c>
      <c r="E1063" s="18" t="s">
        <v>14</v>
      </c>
      <c r="F1063" s="31">
        <v>380.36</v>
      </c>
      <c r="G1063" s="31"/>
      <c r="H1063" s="37">
        <f t="shared" ca="1" si="12"/>
        <v>12262.122000000007</v>
      </c>
    </row>
    <row r="1064" spans="1:8" x14ac:dyDescent="0.2">
      <c r="A1064" s="17">
        <v>46066</v>
      </c>
      <c r="B1064" s="18"/>
      <c r="C1064" s="19" t="s">
        <v>33</v>
      </c>
      <c r="D1064" s="30" t="s">
        <v>40</v>
      </c>
      <c r="E1064" s="18" t="s">
        <v>14</v>
      </c>
      <c r="F1064" s="31"/>
      <c r="G1064" s="31">
        <v>5607.24</v>
      </c>
      <c r="H1064" s="37">
        <f t="shared" ca="1" si="12"/>
        <v>17869.362000000008</v>
      </c>
    </row>
    <row r="1065" spans="1:8" x14ac:dyDescent="0.2">
      <c r="A1065" s="17">
        <v>46066</v>
      </c>
      <c r="B1065" s="18"/>
      <c r="C1065" s="19" t="s">
        <v>271</v>
      </c>
      <c r="D1065" s="30" t="s">
        <v>47</v>
      </c>
      <c r="E1065" s="18" t="s">
        <v>14</v>
      </c>
      <c r="F1065" s="31">
        <v>733.93</v>
      </c>
      <c r="G1065" s="31"/>
      <c r="H1065" s="37">
        <f t="shared" ca="1" si="12"/>
        <v>17135.432000000008</v>
      </c>
    </row>
    <row r="1066" spans="1:8" x14ac:dyDescent="0.2">
      <c r="A1066" s="17">
        <v>46064</v>
      </c>
      <c r="B1066" s="18"/>
      <c r="C1066" s="19" t="s">
        <v>66</v>
      </c>
      <c r="D1066" s="30" t="s">
        <v>411</v>
      </c>
      <c r="E1066" s="18" t="s">
        <v>14</v>
      </c>
      <c r="F1066" s="31"/>
      <c r="G1066" s="31">
        <v>20</v>
      </c>
      <c r="H1066" s="37">
        <f t="shared" ca="1" si="12"/>
        <v>17155.432000000008</v>
      </c>
    </row>
    <row r="1067" spans="1:8" x14ac:dyDescent="0.2">
      <c r="A1067" s="17">
        <v>46066</v>
      </c>
      <c r="B1067" s="18"/>
      <c r="C1067" s="19" t="s">
        <v>242</v>
      </c>
      <c r="D1067" s="30" t="s">
        <v>284</v>
      </c>
      <c r="E1067" s="18" t="s">
        <v>14</v>
      </c>
      <c r="F1067" s="31">
        <v>106</v>
      </c>
      <c r="G1067" s="31"/>
      <c r="H1067" s="37">
        <f t="shared" ca="1" si="12"/>
        <v>17049.432000000008</v>
      </c>
    </row>
    <row r="1068" spans="1:8" x14ac:dyDescent="0.2">
      <c r="A1068" s="17">
        <v>46066</v>
      </c>
      <c r="B1068" s="18"/>
      <c r="C1068" s="19" t="s">
        <v>16</v>
      </c>
      <c r="D1068" s="30" t="s">
        <v>47</v>
      </c>
      <c r="E1068" s="18" t="s">
        <v>14</v>
      </c>
      <c r="F1068" s="31">
        <v>153.16999999999999</v>
      </c>
      <c r="G1068" s="31"/>
      <c r="H1068" s="37">
        <f t="shared" ca="1" si="12"/>
        <v>16896.26200000001</v>
      </c>
    </row>
    <row r="1069" spans="1:8" x14ac:dyDescent="0.2">
      <c r="A1069" s="17">
        <v>46068</v>
      </c>
      <c r="B1069" s="18"/>
      <c r="C1069" s="19" t="s">
        <v>36</v>
      </c>
      <c r="D1069" s="30" t="s">
        <v>323</v>
      </c>
      <c r="E1069" s="18" t="s">
        <v>14</v>
      </c>
      <c r="F1069" s="31">
        <v>395.76</v>
      </c>
      <c r="G1069" s="31"/>
      <c r="H1069" s="37">
        <f t="shared" ca="1" si="12"/>
        <v>16500.502000000011</v>
      </c>
    </row>
    <row r="1070" spans="1:8" x14ac:dyDescent="0.2">
      <c r="A1070" s="17">
        <v>46068</v>
      </c>
      <c r="B1070" s="18"/>
      <c r="C1070" s="19" t="s">
        <v>36</v>
      </c>
      <c r="D1070" s="30" t="s">
        <v>389</v>
      </c>
      <c r="E1070" s="18" t="s">
        <v>14</v>
      </c>
      <c r="F1070" s="31">
        <v>479</v>
      </c>
      <c r="G1070" s="31"/>
      <c r="H1070" s="37">
        <f t="shared" ref="H1070:H1133" ca="1" si="13">IF(AND(ISBLANK(F1070),ISBLANK(G1070)),"",OFFSET(H1070,-1,0,1,1)+G1070-F1070)</f>
        <v>16021.502000000011</v>
      </c>
    </row>
    <row r="1071" spans="1:8" x14ac:dyDescent="0.2">
      <c r="A1071" s="17">
        <v>46067</v>
      </c>
      <c r="B1071" s="18"/>
      <c r="C1071" s="19" t="s">
        <v>356</v>
      </c>
      <c r="D1071" s="30" t="s">
        <v>385</v>
      </c>
      <c r="E1071" s="18" t="s">
        <v>14</v>
      </c>
      <c r="F1071" s="31">
        <v>4.26</v>
      </c>
      <c r="G1071" s="31"/>
      <c r="H1071" s="37">
        <f t="shared" ca="1" si="13"/>
        <v>16017.242000000011</v>
      </c>
    </row>
    <row r="1072" spans="1:8" x14ac:dyDescent="0.2">
      <c r="A1072" s="17">
        <v>46067</v>
      </c>
      <c r="B1072" s="18"/>
      <c r="C1072" s="19" t="s">
        <v>356</v>
      </c>
      <c r="D1072" s="30" t="s">
        <v>386</v>
      </c>
      <c r="E1072" s="18" t="s">
        <v>14</v>
      </c>
      <c r="F1072" s="31">
        <v>8.1999999999999993</v>
      </c>
      <c r="G1072" s="31"/>
      <c r="H1072" s="37">
        <f t="shared" ca="1" si="13"/>
        <v>16009.04200000001</v>
      </c>
    </row>
    <row r="1073" spans="1:8" x14ac:dyDescent="0.2">
      <c r="A1073" s="17">
        <v>46073</v>
      </c>
      <c r="B1073" s="18"/>
      <c r="C1073" s="19" t="s">
        <v>356</v>
      </c>
      <c r="D1073" s="30" t="s">
        <v>386</v>
      </c>
      <c r="E1073" s="18" t="s">
        <v>14</v>
      </c>
      <c r="F1073" s="31">
        <v>6.4</v>
      </c>
      <c r="G1073" s="31"/>
      <c r="H1073" s="37">
        <f t="shared" ca="1" si="13"/>
        <v>16002.642000000011</v>
      </c>
    </row>
    <row r="1074" spans="1:8" x14ac:dyDescent="0.2">
      <c r="A1074" s="17">
        <v>46073</v>
      </c>
      <c r="B1074" s="18"/>
      <c r="C1074" s="19" t="s">
        <v>63</v>
      </c>
      <c r="D1074" s="30" t="s">
        <v>47</v>
      </c>
      <c r="E1074" s="18" t="s">
        <v>14</v>
      </c>
      <c r="F1074" s="31">
        <v>7.85</v>
      </c>
      <c r="G1074" s="31"/>
      <c r="H1074" s="37">
        <f t="shared" ca="1" si="13"/>
        <v>15994.79200000001</v>
      </c>
    </row>
    <row r="1075" spans="1:8" x14ac:dyDescent="0.2">
      <c r="A1075" s="17">
        <v>46080</v>
      </c>
      <c r="B1075" s="18"/>
      <c r="C1075" s="19" t="s">
        <v>33</v>
      </c>
      <c r="D1075" s="30" t="s">
        <v>40</v>
      </c>
      <c r="E1075" s="18" t="s">
        <v>14</v>
      </c>
      <c r="F1075" s="31"/>
      <c r="G1075" s="31">
        <v>5607.23</v>
      </c>
      <c r="H1075" s="37">
        <f t="shared" ca="1" si="13"/>
        <v>21602.022000000012</v>
      </c>
    </row>
    <row r="1076" spans="1:8" x14ac:dyDescent="0.2">
      <c r="A1076" s="17">
        <v>46080</v>
      </c>
      <c r="B1076" s="18"/>
      <c r="C1076" s="19" t="s">
        <v>423</v>
      </c>
      <c r="D1076" s="30" t="s">
        <v>424</v>
      </c>
      <c r="E1076" s="18" t="s">
        <v>14</v>
      </c>
      <c r="F1076" s="31">
        <v>2000</v>
      </c>
      <c r="G1076" s="31"/>
      <c r="H1076" s="37">
        <f t="shared" ca="1" si="13"/>
        <v>19602.022000000012</v>
      </c>
    </row>
    <row r="1077" spans="1:8" x14ac:dyDescent="0.2">
      <c r="A1077" s="17">
        <v>46080</v>
      </c>
      <c r="B1077" s="18"/>
      <c r="C1077" s="19" t="s">
        <v>423</v>
      </c>
      <c r="D1077" s="30" t="s">
        <v>425</v>
      </c>
      <c r="E1077" s="18" t="s">
        <v>14</v>
      </c>
      <c r="F1077" s="31">
        <v>2000</v>
      </c>
      <c r="G1077" s="31"/>
      <c r="H1077" s="37">
        <f t="shared" ca="1" si="13"/>
        <v>17602.022000000012</v>
      </c>
    </row>
    <row r="1078" spans="1:8" x14ac:dyDescent="0.2">
      <c r="A1078" s="17">
        <v>46080</v>
      </c>
      <c r="B1078" s="18"/>
      <c r="C1078" s="19" t="s">
        <v>423</v>
      </c>
      <c r="D1078" s="30" t="s">
        <v>426</v>
      </c>
      <c r="E1078" s="18" t="s">
        <v>14</v>
      </c>
      <c r="F1078" s="31">
        <v>2000</v>
      </c>
      <c r="G1078" s="31"/>
      <c r="H1078" s="37">
        <f t="shared" ca="1" si="13"/>
        <v>15602.022000000012</v>
      </c>
    </row>
    <row r="1079" spans="1:8" x14ac:dyDescent="0.2">
      <c r="A1079" s="17">
        <v>46079</v>
      </c>
      <c r="B1079" s="18"/>
      <c r="C1079" s="19" t="s">
        <v>427</v>
      </c>
      <c r="D1079" s="30" t="s">
        <v>32</v>
      </c>
      <c r="E1079" s="18" t="s">
        <v>14</v>
      </c>
      <c r="F1079" s="31">
        <v>234</v>
      </c>
      <c r="G1079" s="31"/>
      <c r="H1079" s="37">
        <f t="shared" ca="1" si="13"/>
        <v>15368.022000000012</v>
      </c>
    </row>
    <row r="1080" spans="1:8" x14ac:dyDescent="0.2">
      <c r="A1080" s="17">
        <v>46080</v>
      </c>
      <c r="B1080" s="18"/>
      <c r="C1080" s="19" t="s">
        <v>28</v>
      </c>
      <c r="D1080" s="30" t="s">
        <v>55</v>
      </c>
      <c r="E1080" s="18" t="s">
        <v>14</v>
      </c>
      <c r="F1080" s="31">
        <v>1278.8499999999999</v>
      </c>
      <c r="G1080" s="31"/>
      <c r="H1080" s="37">
        <f t="shared" ca="1" si="13"/>
        <v>14089.172000000011</v>
      </c>
    </row>
    <row r="1081" spans="1:8" x14ac:dyDescent="0.2">
      <c r="A1081" s="17">
        <v>46082</v>
      </c>
      <c r="B1081" s="18"/>
      <c r="C1081" s="19" t="s">
        <v>29</v>
      </c>
      <c r="D1081" s="30" t="s">
        <v>45</v>
      </c>
      <c r="E1081" s="18" t="s">
        <v>14</v>
      </c>
      <c r="F1081" s="31">
        <v>157.35</v>
      </c>
      <c r="G1081" s="31"/>
      <c r="H1081" s="37">
        <f t="shared" ca="1" si="13"/>
        <v>13931.822000000011</v>
      </c>
    </row>
    <row r="1082" spans="1:8" x14ac:dyDescent="0.2">
      <c r="A1082" s="17">
        <v>46083</v>
      </c>
      <c r="B1082" s="18"/>
      <c r="C1082" s="19" t="s">
        <v>66</v>
      </c>
      <c r="D1082" s="30" t="s">
        <v>318</v>
      </c>
      <c r="E1082" s="18" t="s">
        <v>14</v>
      </c>
      <c r="F1082" s="31"/>
      <c r="G1082" s="31">
        <v>57.35</v>
      </c>
      <c r="H1082" s="37">
        <f t="shared" ca="1" si="13"/>
        <v>13989.172000000011</v>
      </c>
    </row>
    <row r="1083" spans="1:8" x14ac:dyDescent="0.2">
      <c r="A1083" s="17">
        <v>46080</v>
      </c>
      <c r="B1083" s="18"/>
      <c r="C1083" s="19" t="s">
        <v>381</v>
      </c>
      <c r="D1083" s="30"/>
      <c r="E1083" s="18" t="s">
        <v>14</v>
      </c>
      <c r="F1083" s="31"/>
      <c r="G1083" s="31">
        <v>4</v>
      </c>
      <c r="H1083" s="37">
        <f t="shared" ca="1" si="13"/>
        <v>13993.172000000011</v>
      </c>
    </row>
    <row r="1084" spans="1:8" x14ac:dyDescent="0.2">
      <c r="A1084" s="17">
        <v>46084</v>
      </c>
      <c r="B1084" s="18"/>
      <c r="C1084" s="19" t="s">
        <v>271</v>
      </c>
      <c r="D1084" s="30" t="s">
        <v>47</v>
      </c>
      <c r="E1084" s="18" t="s">
        <v>14</v>
      </c>
      <c r="F1084" s="31">
        <v>2027.25</v>
      </c>
      <c r="G1084" s="31"/>
      <c r="H1084" s="37">
        <f t="shared" ca="1" si="13"/>
        <v>11965.922000000011</v>
      </c>
    </row>
    <row r="1085" spans="1:8" x14ac:dyDescent="0.2">
      <c r="A1085" s="17">
        <v>46087</v>
      </c>
      <c r="B1085" s="18"/>
      <c r="C1085" s="19" t="s">
        <v>428</v>
      </c>
      <c r="D1085" s="30"/>
      <c r="E1085" s="18" t="s">
        <v>14</v>
      </c>
      <c r="F1085" s="31"/>
      <c r="G1085" s="31">
        <v>1510</v>
      </c>
      <c r="H1085" s="37">
        <f t="shared" ca="1" si="13"/>
        <v>13475.922000000011</v>
      </c>
    </row>
    <row r="1086" spans="1:8" x14ac:dyDescent="0.2">
      <c r="A1086" s="17">
        <v>46088</v>
      </c>
      <c r="B1086" s="18"/>
      <c r="C1086" s="19" t="s">
        <v>271</v>
      </c>
      <c r="D1086" s="30" t="s">
        <v>47</v>
      </c>
      <c r="E1086" s="18" t="s">
        <v>14</v>
      </c>
      <c r="F1086" s="31">
        <v>827.6</v>
      </c>
      <c r="G1086" s="31"/>
      <c r="H1086" s="37">
        <f t="shared" ca="1" si="13"/>
        <v>12648.322000000011</v>
      </c>
    </row>
    <row r="1087" spans="1:8" x14ac:dyDescent="0.2">
      <c r="A1087" s="17">
        <v>46092</v>
      </c>
      <c r="B1087" s="18"/>
      <c r="C1087" s="19" t="s">
        <v>33</v>
      </c>
      <c r="D1087" s="30" t="s">
        <v>345</v>
      </c>
      <c r="E1087" s="18" t="s">
        <v>14</v>
      </c>
      <c r="F1087" s="31"/>
      <c r="G1087" s="31">
        <v>798</v>
      </c>
      <c r="H1087" s="37">
        <f t="shared" ca="1" si="13"/>
        <v>13446.322000000011</v>
      </c>
    </row>
    <row r="1088" spans="1:8" x14ac:dyDescent="0.2">
      <c r="A1088" s="17">
        <v>46093</v>
      </c>
      <c r="B1088" s="18"/>
      <c r="C1088" s="19" t="s">
        <v>242</v>
      </c>
      <c r="D1088" s="30" t="s">
        <v>284</v>
      </c>
      <c r="E1088" s="18"/>
      <c r="F1088" s="31">
        <v>133</v>
      </c>
      <c r="G1088" s="31"/>
      <c r="H1088" s="37">
        <f t="shared" ca="1" si="13"/>
        <v>13313.322000000011</v>
      </c>
    </row>
    <row r="1089" spans="1:8" x14ac:dyDescent="0.2">
      <c r="A1089" s="17">
        <v>46093</v>
      </c>
      <c r="B1089" s="18"/>
      <c r="C1089" s="19" t="s">
        <v>36</v>
      </c>
      <c r="D1089" s="30" t="s">
        <v>389</v>
      </c>
      <c r="E1089" s="18" t="s">
        <v>14</v>
      </c>
      <c r="F1089" s="31">
        <v>479</v>
      </c>
      <c r="G1089" s="31"/>
      <c r="H1089" s="37">
        <f t="shared" ca="1" si="13"/>
        <v>12834.322000000011</v>
      </c>
    </row>
    <row r="1090" spans="1:8" x14ac:dyDescent="0.2">
      <c r="A1090" s="17">
        <v>46093</v>
      </c>
      <c r="B1090" s="18"/>
      <c r="C1090" s="19" t="s">
        <v>36</v>
      </c>
      <c r="D1090" s="30" t="s">
        <v>323</v>
      </c>
      <c r="E1090" s="18" t="s">
        <v>14</v>
      </c>
      <c r="F1090" s="31">
        <v>395.76</v>
      </c>
      <c r="G1090" s="31"/>
      <c r="H1090" s="37">
        <f t="shared" ca="1" si="13"/>
        <v>12438.562000000011</v>
      </c>
    </row>
    <row r="1091" spans="1:8" x14ac:dyDescent="0.2">
      <c r="A1091" s="17">
        <v>46093</v>
      </c>
      <c r="B1091" s="18"/>
      <c r="C1091" s="19" t="s">
        <v>16</v>
      </c>
      <c r="D1091" s="30" t="s">
        <v>47</v>
      </c>
      <c r="E1091" s="18" t="s">
        <v>14</v>
      </c>
      <c r="F1091" s="31">
        <v>314.02</v>
      </c>
      <c r="G1091" s="31"/>
      <c r="H1091" s="37">
        <f t="shared" ca="1" si="13"/>
        <v>12124.54200000001</v>
      </c>
    </row>
    <row r="1092" spans="1:8" x14ac:dyDescent="0.2">
      <c r="A1092" s="17">
        <v>46093</v>
      </c>
      <c r="B1092" s="18"/>
      <c r="C1092" s="19" t="s">
        <v>356</v>
      </c>
      <c r="D1092" s="30" t="s">
        <v>386</v>
      </c>
      <c r="E1092" s="18" t="s">
        <v>14</v>
      </c>
      <c r="F1092" s="31">
        <v>9.59</v>
      </c>
      <c r="G1092" s="31"/>
      <c r="H1092" s="37">
        <f t="shared" ca="1" si="13"/>
        <v>12114.95200000001</v>
      </c>
    </row>
    <row r="1093" spans="1:8" x14ac:dyDescent="0.2">
      <c r="A1093" s="17">
        <v>46093</v>
      </c>
      <c r="B1093" s="18"/>
      <c r="C1093" s="19" t="s">
        <v>356</v>
      </c>
      <c r="D1093" s="30" t="s">
        <v>385</v>
      </c>
      <c r="E1093" s="18" t="s">
        <v>14</v>
      </c>
      <c r="F1093" s="31">
        <v>39.86</v>
      </c>
      <c r="G1093" s="31"/>
      <c r="H1093" s="37">
        <f t="shared" ca="1" si="13"/>
        <v>12075.09200000001</v>
      </c>
    </row>
    <row r="1094" spans="1:8" x14ac:dyDescent="0.2">
      <c r="A1094" s="17">
        <v>46094</v>
      </c>
      <c r="B1094" s="18"/>
      <c r="C1094" s="19" t="s">
        <v>33</v>
      </c>
      <c r="D1094" s="30" t="s">
        <v>40</v>
      </c>
      <c r="E1094" s="18" t="s">
        <v>14</v>
      </c>
      <c r="F1094" s="31"/>
      <c r="G1094" s="31">
        <v>5607.22</v>
      </c>
      <c r="H1094" s="37">
        <f t="shared" ca="1" si="13"/>
        <v>17682.312000000009</v>
      </c>
    </row>
    <row r="1095" spans="1:8" x14ac:dyDescent="0.2">
      <c r="A1095" s="17">
        <v>46094</v>
      </c>
      <c r="B1095" s="18"/>
      <c r="C1095" s="19" t="s">
        <v>33</v>
      </c>
      <c r="D1095" s="30" t="s">
        <v>346</v>
      </c>
      <c r="E1095" s="18"/>
      <c r="F1095" s="31">
        <v>7000</v>
      </c>
      <c r="G1095" s="31"/>
      <c r="H1095" s="37">
        <f t="shared" ca="1" si="13"/>
        <v>10682.312000000009</v>
      </c>
    </row>
    <row r="1096" spans="1:8" x14ac:dyDescent="0.2">
      <c r="A1096" s="17"/>
      <c r="B1096" s="18"/>
      <c r="C1096" s="19"/>
      <c r="D1096" s="30"/>
      <c r="E1096" s="18"/>
      <c r="F1096" s="31"/>
      <c r="G1096" s="31"/>
      <c r="H1096" s="37" t="str">
        <f t="shared" ca="1" si="13"/>
        <v/>
      </c>
    </row>
    <row r="1097" spans="1:8" x14ac:dyDescent="0.2">
      <c r="A1097" s="17"/>
      <c r="B1097" s="18"/>
      <c r="C1097" s="19"/>
      <c r="D1097" s="30"/>
      <c r="E1097" s="18"/>
      <c r="F1097" s="31"/>
      <c r="G1097" s="31"/>
      <c r="H1097" s="37" t="str">
        <f t="shared" ca="1" si="13"/>
        <v/>
      </c>
    </row>
    <row r="1098" spans="1:8" x14ac:dyDescent="0.2">
      <c r="A1098" s="17"/>
      <c r="B1098" s="18"/>
      <c r="C1098" s="19"/>
      <c r="D1098" s="30"/>
      <c r="E1098" s="18"/>
      <c r="F1098" s="31"/>
      <c r="G1098" s="31"/>
      <c r="H1098" s="37" t="str">
        <f t="shared" ca="1" si="13"/>
        <v/>
      </c>
    </row>
    <row r="1099" spans="1:8" x14ac:dyDescent="0.2">
      <c r="A1099" s="17"/>
      <c r="B1099" s="18"/>
      <c r="C1099" s="19"/>
      <c r="D1099" s="30"/>
      <c r="E1099" s="18"/>
      <c r="F1099" s="31"/>
      <c r="G1099" s="31"/>
      <c r="H1099" s="37" t="str">
        <f t="shared" ca="1" si="13"/>
        <v/>
      </c>
    </row>
    <row r="1100" spans="1:8" x14ac:dyDescent="0.2">
      <c r="A1100" s="17"/>
      <c r="B1100" s="18"/>
      <c r="C1100" s="19"/>
      <c r="D1100" s="30"/>
      <c r="E1100" s="18"/>
      <c r="F1100" s="31"/>
      <c r="G1100" s="31"/>
      <c r="H1100" s="37" t="str">
        <f t="shared" ca="1" si="13"/>
        <v/>
      </c>
    </row>
    <row r="1101" spans="1:8" x14ac:dyDescent="0.2">
      <c r="A1101" s="17"/>
      <c r="B1101" s="18"/>
      <c r="C1101" s="19"/>
      <c r="D1101" s="30"/>
      <c r="E1101" s="18"/>
      <c r="F1101" s="31"/>
      <c r="G1101" s="31"/>
      <c r="H1101" s="37" t="str">
        <f t="shared" ca="1" si="13"/>
        <v/>
      </c>
    </row>
    <row r="1102" spans="1:8" x14ac:dyDescent="0.2">
      <c r="A1102" s="17"/>
      <c r="B1102" s="18"/>
      <c r="C1102" s="19"/>
      <c r="D1102" s="30"/>
      <c r="E1102" s="18"/>
      <c r="F1102" s="31"/>
      <c r="G1102" s="31"/>
      <c r="H1102" s="37" t="str">
        <f t="shared" ca="1" si="13"/>
        <v/>
      </c>
    </row>
    <row r="1103" spans="1:8" x14ac:dyDescent="0.2">
      <c r="A1103" s="17"/>
      <c r="B1103" s="18"/>
      <c r="C1103" s="19"/>
      <c r="D1103" s="30"/>
      <c r="E1103" s="18"/>
      <c r="F1103" s="31"/>
      <c r="G1103" s="31"/>
      <c r="H1103" s="37" t="str">
        <f t="shared" ca="1" si="13"/>
        <v/>
      </c>
    </row>
    <row r="1104" spans="1:8" x14ac:dyDescent="0.2">
      <c r="A1104" s="17"/>
      <c r="B1104" s="18"/>
      <c r="C1104" s="19"/>
      <c r="D1104" s="30"/>
      <c r="E1104" s="18"/>
      <c r="F1104" s="31"/>
      <c r="G1104" s="31"/>
      <c r="H1104" s="37" t="str">
        <f t="shared" ca="1" si="13"/>
        <v/>
      </c>
    </row>
    <row r="1105" spans="1:8" x14ac:dyDescent="0.2">
      <c r="A1105" s="17"/>
      <c r="B1105" s="18"/>
      <c r="C1105" s="19"/>
      <c r="D1105" s="30"/>
      <c r="E1105" s="18"/>
      <c r="F1105" s="31"/>
      <c r="G1105" s="31"/>
      <c r="H1105" s="37" t="str">
        <f t="shared" ca="1" si="13"/>
        <v/>
      </c>
    </row>
    <row r="1106" spans="1:8" x14ac:dyDescent="0.2">
      <c r="A1106" s="17"/>
      <c r="B1106" s="18"/>
      <c r="C1106" s="19"/>
      <c r="D1106" s="30"/>
      <c r="E1106" s="18"/>
      <c r="F1106" s="31"/>
      <c r="G1106" s="31"/>
      <c r="H1106" s="37" t="str">
        <f t="shared" ca="1" si="13"/>
        <v/>
      </c>
    </row>
    <row r="1107" spans="1:8" x14ac:dyDescent="0.2">
      <c r="A1107" s="17"/>
      <c r="B1107" s="18"/>
      <c r="C1107" s="19"/>
      <c r="D1107" s="30"/>
      <c r="E1107" s="18"/>
      <c r="F1107" s="31"/>
      <c r="G1107" s="31"/>
      <c r="H1107" s="37" t="str">
        <f t="shared" ca="1" si="13"/>
        <v/>
      </c>
    </row>
    <row r="1108" spans="1:8" x14ac:dyDescent="0.2">
      <c r="A1108" s="17"/>
      <c r="B1108" s="18"/>
      <c r="C1108" s="19"/>
      <c r="D1108" s="30"/>
      <c r="E1108" s="18"/>
      <c r="F1108" s="31"/>
      <c r="G1108" s="31"/>
      <c r="H1108" s="37" t="str">
        <f t="shared" ca="1" si="13"/>
        <v/>
      </c>
    </row>
    <row r="1109" spans="1:8" x14ac:dyDescent="0.2">
      <c r="A1109" s="17"/>
      <c r="B1109" s="18"/>
      <c r="C1109" s="19"/>
      <c r="D1109" s="30"/>
      <c r="E1109" s="18"/>
      <c r="F1109" s="31"/>
      <c r="G1109" s="31"/>
      <c r="H1109" s="37" t="str">
        <f t="shared" ca="1" si="13"/>
        <v/>
      </c>
    </row>
    <row r="1110" spans="1:8" x14ac:dyDescent="0.2">
      <c r="A1110" s="17"/>
      <c r="B1110" s="18"/>
      <c r="C1110" s="19"/>
      <c r="D1110" s="30"/>
      <c r="E1110" s="18"/>
      <c r="F1110" s="31"/>
      <c r="G1110" s="31"/>
      <c r="H1110" s="37" t="str">
        <f t="shared" ca="1" si="13"/>
        <v/>
      </c>
    </row>
    <row r="1111" spans="1:8" x14ac:dyDescent="0.2">
      <c r="A1111" s="17"/>
      <c r="B1111" s="18"/>
      <c r="C1111" s="19"/>
      <c r="D1111" s="30"/>
      <c r="E1111" s="18"/>
      <c r="F1111" s="31"/>
      <c r="G1111" s="31"/>
      <c r="H1111" s="37" t="str">
        <f t="shared" ca="1" si="13"/>
        <v/>
      </c>
    </row>
    <row r="1112" spans="1:8" x14ac:dyDescent="0.2">
      <c r="A1112" s="17"/>
      <c r="B1112" s="18"/>
      <c r="C1112" s="19"/>
      <c r="D1112" s="30"/>
      <c r="E1112" s="18"/>
      <c r="F1112" s="31"/>
      <c r="G1112" s="31"/>
      <c r="H1112" s="37" t="str">
        <f t="shared" ca="1" si="13"/>
        <v/>
      </c>
    </row>
    <row r="1113" spans="1:8" x14ac:dyDescent="0.2">
      <c r="A1113" s="17"/>
      <c r="B1113" s="18"/>
      <c r="C1113" s="19"/>
      <c r="D1113" s="30"/>
      <c r="E1113" s="18"/>
      <c r="F1113" s="31"/>
      <c r="G1113" s="31"/>
      <c r="H1113" s="37" t="str">
        <f t="shared" ca="1" si="13"/>
        <v/>
      </c>
    </row>
    <row r="1114" spans="1:8" x14ac:dyDescent="0.2">
      <c r="A1114" s="17"/>
      <c r="B1114" s="18"/>
      <c r="C1114" s="19"/>
      <c r="D1114" s="30"/>
      <c r="E1114" s="18"/>
      <c r="F1114" s="31"/>
      <c r="G1114" s="31"/>
      <c r="H1114" s="37" t="str">
        <f t="shared" ca="1" si="13"/>
        <v/>
      </c>
    </row>
    <row r="1115" spans="1:8" x14ac:dyDescent="0.2">
      <c r="A1115" s="17"/>
      <c r="B1115" s="18"/>
      <c r="C1115" s="19"/>
      <c r="D1115" s="30"/>
      <c r="E1115" s="18"/>
      <c r="F1115" s="31"/>
      <c r="G1115" s="31"/>
      <c r="H1115" s="37" t="str">
        <f t="shared" ca="1" si="13"/>
        <v/>
      </c>
    </row>
    <row r="1116" spans="1:8" x14ac:dyDescent="0.2">
      <c r="A1116" s="17"/>
      <c r="B1116" s="18"/>
      <c r="C1116" s="19"/>
      <c r="D1116" s="30"/>
      <c r="E1116" s="18"/>
      <c r="F1116" s="31"/>
      <c r="G1116" s="31"/>
      <c r="H1116" s="37" t="str">
        <f t="shared" ca="1" si="13"/>
        <v/>
      </c>
    </row>
    <row r="1117" spans="1:8" x14ac:dyDescent="0.2">
      <c r="A1117" s="17"/>
      <c r="B1117" s="18"/>
      <c r="C1117" s="19"/>
      <c r="D1117" s="30"/>
      <c r="E1117" s="18"/>
      <c r="F1117" s="31"/>
      <c r="G1117" s="31"/>
      <c r="H1117" s="37" t="str">
        <f t="shared" ca="1" si="13"/>
        <v/>
      </c>
    </row>
    <row r="1118" spans="1:8" x14ac:dyDescent="0.2">
      <c r="A1118" s="17"/>
      <c r="B1118" s="18"/>
      <c r="C1118" s="19"/>
      <c r="D1118" s="30"/>
      <c r="E1118" s="18"/>
      <c r="F1118" s="31"/>
      <c r="G1118" s="31"/>
      <c r="H1118" s="37" t="str">
        <f t="shared" ca="1" si="13"/>
        <v/>
      </c>
    </row>
    <row r="1119" spans="1:8" x14ac:dyDescent="0.2">
      <c r="A1119" s="17"/>
      <c r="B1119" s="18"/>
      <c r="C1119" s="19"/>
      <c r="D1119" s="30"/>
      <c r="E1119" s="18"/>
      <c r="F1119" s="31"/>
      <c r="G1119" s="31"/>
      <c r="H1119" s="37" t="str">
        <f t="shared" ca="1" si="13"/>
        <v/>
      </c>
    </row>
    <row r="1120" spans="1:8" x14ac:dyDescent="0.2">
      <c r="A1120" s="17"/>
      <c r="B1120" s="18"/>
      <c r="C1120" s="19"/>
      <c r="D1120" s="30"/>
      <c r="E1120" s="18"/>
      <c r="F1120" s="31"/>
      <c r="G1120" s="31"/>
      <c r="H1120" s="37" t="str">
        <f t="shared" ca="1" si="13"/>
        <v/>
      </c>
    </row>
    <row r="1121" spans="1:8" x14ac:dyDescent="0.2">
      <c r="A1121" s="17"/>
      <c r="B1121" s="18"/>
      <c r="C1121" s="19"/>
      <c r="D1121" s="30"/>
      <c r="E1121" s="18"/>
      <c r="F1121" s="31"/>
      <c r="G1121" s="31"/>
      <c r="H1121" s="37" t="str">
        <f t="shared" ca="1" si="13"/>
        <v/>
      </c>
    </row>
    <row r="1122" spans="1:8" x14ac:dyDescent="0.2">
      <c r="A1122" s="17"/>
      <c r="B1122" s="18"/>
      <c r="C1122" s="19"/>
      <c r="D1122" s="30"/>
      <c r="E1122" s="18"/>
      <c r="F1122" s="31"/>
      <c r="G1122" s="31"/>
      <c r="H1122" s="37" t="str">
        <f t="shared" ca="1" si="13"/>
        <v/>
      </c>
    </row>
    <row r="1123" spans="1:8" x14ac:dyDescent="0.2">
      <c r="A1123" s="17"/>
      <c r="B1123" s="18"/>
      <c r="C1123" s="19"/>
      <c r="D1123" s="30"/>
      <c r="E1123" s="18"/>
      <c r="F1123" s="31"/>
      <c r="G1123" s="31"/>
      <c r="H1123" s="37" t="str">
        <f t="shared" ca="1" si="13"/>
        <v/>
      </c>
    </row>
    <row r="1124" spans="1:8" x14ac:dyDescent="0.2">
      <c r="A1124" s="17"/>
      <c r="B1124" s="18"/>
      <c r="C1124" s="19"/>
      <c r="D1124" s="30"/>
      <c r="E1124" s="18"/>
      <c r="F1124" s="31"/>
      <c r="G1124" s="31"/>
      <c r="H1124" s="37" t="str">
        <f t="shared" ca="1" si="13"/>
        <v/>
      </c>
    </row>
    <row r="1125" spans="1:8" x14ac:dyDescent="0.2">
      <c r="A1125" s="17"/>
      <c r="B1125" s="18"/>
      <c r="C1125" s="19"/>
      <c r="D1125" s="30"/>
      <c r="E1125" s="18"/>
      <c r="F1125" s="31"/>
      <c r="G1125" s="31"/>
      <c r="H1125" s="37" t="str">
        <f t="shared" ca="1" si="13"/>
        <v/>
      </c>
    </row>
    <row r="1126" spans="1:8" x14ac:dyDescent="0.2">
      <c r="A1126" s="17"/>
      <c r="B1126" s="18"/>
      <c r="C1126" s="19"/>
      <c r="D1126" s="30"/>
      <c r="E1126" s="18"/>
      <c r="F1126" s="31"/>
      <c r="G1126" s="31"/>
      <c r="H1126" s="37" t="str">
        <f t="shared" ca="1" si="13"/>
        <v/>
      </c>
    </row>
    <row r="1127" spans="1:8" x14ac:dyDescent="0.2">
      <c r="A1127" s="17"/>
      <c r="B1127" s="18"/>
      <c r="C1127" s="19"/>
      <c r="D1127" s="30"/>
      <c r="E1127" s="18"/>
      <c r="F1127" s="31"/>
      <c r="G1127" s="31"/>
      <c r="H1127" s="37" t="str">
        <f t="shared" ca="1" si="13"/>
        <v/>
      </c>
    </row>
    <row r="1128" spans="1:8" x14ac:dyDescent="0.2">
      <c r="A1128" s="17"/>
      <c r="B1128" s="18"/>
      <c r="C1128" s="19"/>
      <c r="D1128" s="30"/>
      <c r="E1128" s="18"/>
      <c r="F1128" s="31"/>
      <c r="G1128" s="31"/>
      <c r="H1128" s="37" t="str">
        <f t="shared" ca="1" si="13"/>
        <v/>
      </c>
    </row>
    <row r="1129" spans="1:8" x14ac:dyDescent="0.2">
      <c r="A1129" s="17"/>
      <c r="B1129" s="18"/>
      <c r="C1129" s="19"/>
      <c r="D1129" s="30"/>
      <c r="E1129" s="18"/>
      <c r="F1129" s="31"/>
      <c r="G1129" s="31"/>
      <c r="H1129" s="37" t="str">
        <f t="shared" ca="1" si="13"/>
        <v/>
      </c>
    </row>
    <row r="1130" spans="1:8" x14ac:dyDescent="0.2">
      <c r="A1130" s="17"/>
      <c r="B1130" s="18"/>
      <c r="C1130" s="19"/>
      <c r="D1130" s="30"/>
      <c r="E1130" s="18"/>
      <c r="F1130" s="31"/>
      <c r="G1130" s="31"/>
      <c r="H1130" s="37" t="str">
        <f t="shared" ca="1" si="13"/>
        <v/>
      </c>
    </row>
    <row r="1131" spans="1:8" x14ac:dyDescent="0.2">
      <c r="A1131" s="17"/>
      <c r="B1131" s="18"/>
      <c r="C1131" s="19"/>
      <c r="D1131" s="30"/>
      <c r="E1131" s="18"/>
      <c r="F1131" s="31"/>
      <c r="G1131" s="31"/>
      <c r="H1131" s="37" t="str">
        <f t="shared" ca="1" si="13"/>
        <v/>
      </c>
    </row>
    <row r="1132" spans="1:8" x14ac:dyDescent="0.2">
      <c r="A1132" s="17"/>
      <c r="B1132" s="18"/>
      <c r="C1132" s="19"/>
      <c r="D1132" s="30"/>
      <c r="E1132" s="18"/>
      <c r="F1132" s="31"/>
      <c r="G1132" s="31"/>
      <c r="H1132" s="37" t="str">
        <f t="shared" ca="1" si="13"/>
        <v/>
      </c>
    </row>
    <row r="1133" spans="1:8" x14ac:dyDescent="0.2">
      <c r="A1133" s="17"/>
      <c r="B1133" s="18"/>
      <c r="C1133" s="19"/>
      <c r="D1133" s="30"/>
      <c r="E1133" s="18"/>
      <c r="F1133" s="31"/>
      <c r="G1133" s="31"/>
      <c r="H1133" s="37" t="str">
        <f t="shared" ca="1" si="13"/>
        <v/>
      </c>
    </row>
    <row r="1134" spans="1:8" x14ac:dyDescent="0.2">
      <c r="A1134" s="17"/>
      <c r="B1134" s="18"/>
      <c r="C1134" s="19"/>
      <c r="D1134" s="30"/>
      <c r="E1134" s="18"/>
      <c r="F1134" s="31"/>
      <c r="G1134" s="31"/>
      <c r="H1134" s="37" t="str">
        <f t="shared" ref="H1134:H1197" ca="1" si="14">IF(AND(ISBLANK(F1134),ISBLANK(G1134)),"",OFFSET(H1134,-1,0,1,1)+G1134-F1134)</f>
        <v/>
      </c>
    </row>
    <row r="1135" spans="1:8" x14ac:dyDescent="0.2">
      <c r="A1135" s="17"/>
      <c r="B1135" s="18"/>
      <c r="C1135" s="19"/>
      <c r="D1135" s="30"/>
      <c r="E1135" s="18"/>
      <c r="F1135" s="31"/>
      <c r="G1135" s="31"/>
      <c r="H1135" s="37" t="str">
        <f t="shared" ca="1" si="14"/>
        <v/>
      </c>
    </row>
    <row r="1136" spans="1:8" x14ac:dyDescent="0.2">
      <c r="A1136" s="17"/>
      <c r="B1136" s="18"/>
      <c r="C1136" s="19"/>
      <c r="D1136" s="30"/>
      <c r="E1136" s="18"/>
      <c r="F1136" s="31"/>
      <c r="G1136" s="31"/>
      <c r="H1136" s="37" t="str">
        <f t="shared" ca="1" si="14"/>
        <v/>
      </c>
    </row>
    <row r="1137" spans="1:8" x14ac:dyDescent="0.2">
      <c r="A1137" s="17"/>
      <c r="B1137" s="18"/>
      <c r="C1137" s="19"/>
      <c r="D1137" s="30"/>
      <c r="E1137" s="18"/>
      <c r="F1137" s="31"/>
      <c r="G1137" s="31"/>
      <c r="H1137" s="37" t="str">
        <f t="shared" ca="1" si="14"/>
        <v/>
      </c>
    </row>
    <row r="1138" spans="1:8" x14ac:dyDescent="0.2">
      <c r="A1138" s="17"/>
      <c r="B1138" s="18"/>
      <c r="C1138" s="19"/>
      <c r="D1138" s="30"/>
      <c r="E1138" s="18"/>
      <c r="F1138" s="31"/>
      <c r="G1138" s="31"/>
      <c r="H1138" s="37" t="str">
        <f t="shared" ca="1" si="14"/>
        <v/>
      </c>
    </row>
    <row r="1139" spans="1:8" x14ac:dyDescent="0.2">
      <c r="A1139" s="17"/>
      <c r="B1139" s="18"/>
      <c r="C1139" s="19"/>
      <c r="D1139" s="30"/>
      <c r="E1139" s="18"/>
      <c r="F1139" s="31"/>
      <c r="G1139" s="31"/>
      <c r="H1139" s="37" t="str">
        <f t="shared" ca="1" si="14"/>
        <v/>
      </c>
    </row>
    <row r="1140" spans="1:8" x14ac:dyDescent="0.2">
      <c r="A1140" s="17"/>
      <c r="B1140" s="18"/>
      <c r="C1140" s="19"/>
      <c r="D1140" s="30"/>
      <c r="E1140" s="18"/>
      <c r="F1140" s="31"/>
      <c r="G1140" s="31"/>
      <c r="H1140" s="37" t="str">
        <f t="shared" ca="1" si="14"/>
        <v/>
      </c>
    </row>
    <row r="1141" spans="1:8" x14ac:dyDescent="0.2">
      <c r="A1141" s="17"/>
      <c r="B1141" s="18"/>
      <c r="C1141" s="19"/>
      <c r="D1141" s="30"/>
      <c r="E1141" s="18"/>
      <c r="F1141" s="31"/>
      <c r="G1141" s="31"/>
      <c r="H1141" s="37" t="str">
        <f t="shared" ca="1" si="14"/>
        <v/>
      </c>
    </row>
    <row r="1142" spans="1:8" x14ac:dyDescent="0.2">
      <c r="A1142" s="17"/>
      <c r="B1142" s="18"/>
      <c r="C1142" s="19"/>
      <c r="D1142" s="30"/>
      <c r="E1142" s="18"/>
      <c r="F1142" s="31"/>
      <c r="G1142" s="31"/>
      <c r="H1142" s="37" t="str">
        <f t="shared" ca="1" si="14"/>
        <v/>
      </c>
    </row>
    <row r="1143" spans="1:8" x14ac:dyDescent="0.2">
      <c r="A1143" s="17"/>
      <c r="B1143" s="18"/>
      <c r="C1143" s="19"/>
      <c r="D1143" s="30"/>
      <c r="E1143" s="18"/>
      <c r="F1143" s="31"/>
      <c r="G1143" s="31"/>
      <c r="H1143" s="37" t="str">
        <f t="shared" ca="1" si="14"/>
        <v/>
      </c>
    </row>
    <row r="1144" spans="1:8" x14ac:dyDescent="0.2">
      <c r="A1144" s="17"/>
      <c r="B1144" s="18"/>
      <c r="C1144" s="19"/>
      <c r="D1144" s="30"/>
      <c r="E1144" s="18"/>
      <c r="F1144" s="31"/>
      <c r="G1144" s="31"/>
      <c r="H1144" s="37" t="str">
        <f t="shared" ca="1" si="14"/>
        <v/>
      </c>
    </row>
    <row r="1145" spans="1:8" x14ac:dyDescent="0.2">
      <c r="A1145" s="17"/>
      <c r="B1145" s="18"/>
      <c r="C1145" s="19"/>
      <c r="D1145" s="30"/>
      <c r="E1145" s="18"/>
      <c r="F1145" s="31"/>
      <c r="G1145" s="31"/>
      <c r="H1145" s="37" t="str">
        <f t="shared" ca="1" si="14"/>
        <v/>
      </c>
    </row>
    <row r="1146" spans="1:8" x14ac:dyDescent="0.2">
      <c r="A1146" s="17"/>
      <c r="B1146" s="18"/>
      <c r="C1146" s="19"/>
      <c r="D1146" s="30"/>
      <c r="E1146" s="18"/>
      <c r="F1146" s="31"/>
      <c r="G1146" s="31"/>
      <c r="H1146" s="37" t="str">
        <f t="shared" ca="1" si="14"/>
        <v/>
      </c>
    </row>
    <row r="1147" spans="1:8" x14ac:dyDescent="0.2">
      <c r="A1147" s="17"/>
      <c r="B1147" s="18"/>
      <c r="C1147" s="19"/>
      <c r="D1147" s="30"/>
      <c r="E1147" s="18"/>
      <c r="F1147" s="31"/>
      <c r="G1147" s="31"/>
      <c r="H1147" s="37" t="str">
        <f t="shared" ca="1" si="14"/>
        <v/>
      </c>
    </row>
    <row r="1148" spans="1:8" x14ac:dyDescent="0.2">
      <c r="A1148" s="17"/>
      <c r="B1148" s="18"/>
      <c r="C1148" s="19"/>
      <c r="D1148" s="30"/>
      <c r="E1148" s="18"/>
      <c r="F1148" s="31"/>
      <c r="G1148" s="31"/>
      <c r="H1148" s="37" t="str">
        <f t="shared" ca="1" si="14"/>
        <v/>
      </c>
    </row>
    <row r="1149" spans="1:8" x14ac:dyDescent="0.2">
      <c r="A1149" s="17"/>
      <c r="B1149" s="18"/>
      <c r="C1149" s="19"/>
      <c r="D1149" s="30"/>
      <c r="E1149" s="18"/>
      <c r="F1149" s="31"/>
      <c r="G1149" s="31"/>
      <c r="H1149" s="37" t="str">
        <f t="shared" ca="1" si="14"/>
        <v/>
      </c>
    </row>
    <row r="1150" spans="1:8" x14ac:dyDescent="0.2">
      <c r="A1150" s="17"/>
      <c r="B1150" s="18"/>
      <c r="C1150" s="19"/>
      <c r="D1150" s="30"/>
      <c r="E1150" s="18"/>
      <c r="F1150" s="31"/>
      <c r="G1150" s="31"/>
      <c r="H1150" s="37" t="str">
        <f t="shared" ca="1" si="14"/>
        <v/>
      </c>
    </row>
    <row r="1151" spans="1:8" x14ac:dyDescent="0.2">
      <c r="A1151" s="17"/>
      <c r="B1151" s="18"/>
      <c r="C1151" s="19"/>
      <c r="D1151" s="30"/>
      <c r="E1151" s="18"/>
      <c r="F1151" s="31"/>
      <c r="G1151" s="31"/>
      <c r="H1151" s="37" t="str">
        <f t="shared" ca="1" si="14"/>
        <v/>
      </c>
    </row>
    <row r="1152" spans="1:8" x14ac:dyDescent="0.2">
      <c r="A1152" s="17"/>
      <c r="B1152" s="18"/>
      <c r="C1152" s="19"/>
      <c r="D1152" s="30"/>
      <c r="E1152" s="18"/>
      <c r="F1152" s="31"/>
      <c r="G1152" s="31"/>
      <c r="H1152" s="37" t="str">
        <f t="shared" ca="1" si="14"/>
        <v/>
      </c>
    </row>
    <row r="1153" spans="1:8" x14ac:dyDescent="0.2">
      <c r="A1153" s="17"/>
      <c r="B1153" s="18"/>
      <c r="C1153" s="19"/>
      <c r="D1153" s="30"/>
      <c r="E1153" s="18"/>
      <c r="F1153" s="31"/>
      <c r="G1153" s="31"/>
      <c r="H1153" s="37" t="str">
        <f t="shared" ca="1" si="14"/>
        <v/>
      </c>
    </row>
    <row r="1154" spans="1:8" x14ac:dyDescent="0.2">
      <c r="A1154" s="17"/>
      <c r="B1154" s="18"/>
      <c r="C1154" s="19"/>
      <c r="D1154" s="30"/>
      <c r="E1154" s="18"/>
      <c r="F1154" s="31"/>
      <c r="G1154" s="31"/>
      <c r="H1154" s="37" t="str">
        <f t="shared" ca="1" si="14"/>
        <v/>
      </c>
    </row>
    <row r="1155" spans="1:8" x14ac:dyDescent="0.2">
      <c r="A1155" s="17"/>
      <c r="B1155" s="18"/>
      <c r="C1155" s="19"/>
      <c r="D1155" s="30"/>
      <c r="E1155" s="18"/>
      <c r="F1155" s="31"/>
      <c r="G1155" s="31"/>
      <c r="H1155" s="37" t="str">
        <f t="shared" ca="1" si="14"/>
        <v/>
      </c>
    </row>
    <row r="1156" spans="1:8" x14ac:dyDescent="0.2">
      <c r="A1156" s="17"/>
      <c r="B1156" s="18"/>
      <c r="C1156" s="19"/>
      <c r="D1156" s="30"/>
      <c r="E1156" s="18"/>
      <c r="F1156" s="31"/>
      <c r="G1156" s="31"/>
      <c r="H1156" s="37" t="str">
        <f t="shared" ca="1" si="14"/>
        <v/>
      </c>
    </row>
    <row r="1157" spans="1:8" x14ac:dyDescent="0.2">
      <c r="A1157" s="17"/>
      <c r="B1157" s="18"/>
      <c r="C1157" s="19"/>
      <c r="D1157" s="30"/>
      <c r="E1157" s="18"/>
      <c r="F1157" s="31"/>
      <c r="G1157" s="31"/>
      <c r="H1157" s="37" t="str">
        <f t="shared" ca="1" si="14"/>
        <v/>
      </c>
    </row>
    <row r="1158" spans="1:8" x14ac:dyDescent="0.2">
      <c r="A1158" s="17"/>
      <c r="B1158" s="18"/>
      <c r="C1158" s="19"/>
      <c r="D1158" s="30"/>
      <c r="E1158" s="18"/>
      <c r="F1158" s="31"/>
      <c r="G1158" s="31"/>
      <c r="H1158" s="37" t="str">
        <f t="shared" ca="1" si="14"/>
        <v/>
      </c>
    </row>
    <row r="1159" spans="1:8" x14ac:dyDescent="0.2">
      <c r="A1159" s="17"/>
      <c r="B1159" s="18"/>
      <c r="C1159" s="19"/>
      <c r="D1159" s="30"/>
      <c r="E1159" s="18"/>
      <c r="F1159" s="31"/>
      <c r="G1159" s="31"/>
      <c r="H1159" s="37" t="str">
        <f t="shared" ca="1" si="14"/>
        <v/>
      </c>
    </row>
    <row r="1160" spans="1:8" x14ac:dyDescent="0.2">
      <c r="A1160" s="17"/>
      <c r="B1160" s="18"/>
      <c r="C1160" s="19"/>
      <c r="D1160" s="30"/>
      <c r="E1160" s="18"/>
      <c r="F1160" s="31"/>
      <c r="G1160" s="31"/>
      <c r="H1160" s="37" t="str">
        <f t="shared" ca="1" si="14"/>
        <v/>
      </c>
    </row>
    <row r="1161" spans="1:8" x14ac:dyDescent="0.2">
      <c r="A1161" s="17"/>
      <c r="B1161" s="18"/>
      <c r="C1161" s="19"/>
      <c r="D1161" s="30"/>
      <c r="E1161" s="18"/>
      <c r="F1161" s="31"/>
      <c r="G1161" s="31"/>
      <c r="H1161" s="37" t="str">
        <f t="shared" ca="1" si="14"/>
        <v/>
      </c>
    </row>
    <row r="1162" spans="1:8" x14ac:dyDescent="0.2">
      <c r="A1162" s="17"/>
      <c r="B1162" s="18"/>
      <c r="C1162" s="19"/>
      <c r="D1162" s="30"/>
      <c r="E1162" s="18"/>
      <c r="F1162" s="31"/>
      <c r="G1162" s="31"/>
      <c r="H1162" s="37" t="str">
        <f t="shared" ca="1" si="14"/>
        <v/>
      </c>
    </row>
    <row r="1163" spans="1:8" x14ac:dyDescent="0.2">
      <c r="A1163" s="17"/>
      <c r="B1163" s="18"/>
      <c r="C1163" s="19"/>
      <c r="D1163" s="30"/>
      <c r="E1163" s="18"/>
      <c r="F1163" s="31"/>
      <c r="G1163" s="31"/>
      <c r="H1163" s="37" t="str">
        <f t="shared" ca="1" si="14"/>
        <v/>
      </c>
    </row>
    <row r="1164" spans="1:8" x14ac:dyDescent="0.2">
      <c r="A1164" s="17"/>
      <c r="B1164" s="18"/>
      <c r="C1164" s="19"/>
      <c r="D1164" s="30"/>
      <c r="E1164" s="18"/>
      <c r="F1164" s="31"/>
      <c r="G1164" s="31"/>
      <c r="H1164" s="37" t="str">
        <f t="shared" ca="1" si="14"/>
        <v/>
      </c>
    </row>
    <row r="1165" spans="1:8" x14ac:dyDescent="0.2">
      <c r="A1165" s="17"/>
      <c r="B1165" s="18"/>
      <c r="C1165" s="19"/>
      <c r="D1165" s="30"/>
      <c r="E1165" s="18"/>
      <c r="F1165" s="31"/>
      <c r="G1165" s="31"/>
      <c r="H1165" s="37" t="str">
        <f t="shared" ca="1" si="14"/>
        <v/>
      </c>
    </row>
    <row r="1166" spans="1:8" x14ac:dyDescent="0.2">
      <c r="A1166" s="17"/>
      <c r="B1166" s="18"/>
      <c r="C1166" s="19"/>
      <c r="D1166" s="30"/>
      <c r="E1166" s="18"/>
      <c r="F1166" s="31"/>
      <c r="G1166" s="31"/>
      <c r="H1166" s="37" t="str">
        <f t="shared" ca="1" si="14"/>
        <v/>
      </c>
    </row>
    <row r="1167" spans="1:8" x14ac:dyDescent="0.2">
      <c r="A1167" s="17"/>
      <c r="B1167" s="18"/>
      <c r="C1167" s="19"/>
      <c r="D1167" s="30"/>
      <c r="E1167" s="18"/>
      <c r="F1167" s="31"/>
      <c r="G1167" s="31"/>
      <c r="H1167" s="37" t="str">
        <f t="shared" ca="1" si="14"/>
        <v/>
      </c>
    </row>
    <row r="1168" spans="1:8" x14ac:dyDescent="0.2">
      <c r="A1168" s="17"/>
      <c r="B1168" s="18"/>
      <c r="C1168" s="19"/>
      <c r="D1168" s="30"/>
      <c r="E1168" s="18"/>
      <c r="F1168" s="31"/>
      <c r="G1168" s="31"/>
      <c r="H1168" s="37" t="str">
        <f t="shared" ca="1" si="14"/>
        <v/>
      </c>
    </row>
    <row r="1169" spans="1:8" x14ac:dyDescent="0.2">
      <c r="A1169" s="17"/>
      <c r="B1169" s="18"/>
      <c r="C1169" s="19"/>
      <c r="D1169" s="30"/>
      <c r="E1169" s="18"/>
      <c r="F1169" s="31"/>
      <c r="G1169" s="31"/>
      <c r="H1169" s="37" t="str">
        <f t="shared" ca="1" si="14"/>
        <v/>
      </c>
    </row>
    <row r="1170" spans="1:8" x14ac:dyDescent="0.2">
      <c r="A1170" s="17"/>
      <c r="B1170" s="18"/>
      <c r="C1170" s="19"/>
      <c r="D1170" s="30"/>
      <c r="E1170" s="18"/>
      <c r="F1170" s="31"/>
      <c r="G1170" s="31"/>
      <c r="H1170" s="37" t="str">
        <f t="shared" ca="1" si="14"/>
        <v/>
      </c>
    </row>
    <row r="1171" spans="1:8" x14ac:dyDescent="0.2">
      <c r="A1171" s="17"/>
      <c r="B1171" s="18"/>
      <c r="C1171" s="19"/>
      <c r="D1171" s="30"/>
      <c r="E1171" s="18"/>
      <c r="F1171" s="31"/>
      <c r="G1171" s="31"/>
      <c r="H1171" s="37" t="str">
        <f t="shared" ca="1" si="14"/>
        <v/>
      </c>
    </row>
    <row r="1172" spans="1:8" x14ac:dyDescent="0.2">
      <c r="A1172" s="17"/>
      <c r="B1172" s="18"/>
      <c r="C1172" s="19"/>
      <c r="D1172" s="30"/>
      <c r="E1172" s="18"/>
      <c r="F1172" s="31"/>
      <c r="G1172" s="31"/>
      <c r="H1172" s="37" t="str">
        <f t="shared" ca="1" si="14"/>
        <v/>
      </c>
    </row>
    <row r="1173" spans="1:8" x14ac:dyDescent="0.2">
      <c r="A1173" s="17"/>
      <c r="B1173" s="18"/>
      <c r="C1173" s="19"/>
      <c r="D1173" s="30"/>
      <c r="E1173" s="18"/>
      <c r="F1173" s="31"/>
      <c r="G1173" s="31"/>
      <c r="H1173" s="37" t="str">
        <f t="shared" ca="1" si="14"/>
        <v/>
      </c>
    </row>
    <row r="1174" spans="1:8" x14ac:dyDescent="0.2">
      <c r="A1174" s="17"/>
      <c r="B1174" s="18"/>
      <c r="C1174" s="19"/>
      <c r="D1174" s="30"/>
      <c r="E1174" s="18"/>
      <c r="F1174" s="31"/>
      <c r="G1174" s="31"/>
      <c r="H1174" s="37" t="str">
        <f t="shared" ca="1" si="14"/>
        <v/>
      </c>
    </row>
    <row r="1175" spans="1:8" x14ac:dyDescent="0.2">
      <c r="A1175" s="17"/>
      <c r="B1175" s="18"/>
      <c r="C1175" s="19"/>
      <c r="D1175" s="30"/>
      <c r="E1175" s="18"/>
      <c r="F1175" s="31"/>
      <c r="G1175" s="31"/>
      <c r="H1175" s="37" t="str">
        <f t="shared" ca="1" si="14"/>
        <v/>
      </c>
    </row>
    <row r="1176" spans="1:8" x14ac:dyDescent="0.2">
      <c r="A1176" s="17"/>
      <c r="B1176" s="18"/>
      <c r="C1176" s="19"/>
      <c r="D1176" s="30"/>
      <c r="E1176" s="18"/>
      <c r="F1176" s="31"/>
      <c r="G1176" s="31"/>
      <c r="H1176" s="37" t="str">
        <f t="shared" ca="1" si="14"/>
        <v/>
      </c>
    </row>
    <row r="1177" spans="1:8" x14ac:dyDescent="0.2">
      <c r="A1177" s="17"/>
      <c r="B1177" s="18"/>
      <c r="C1177" s="19"/>
      <c r="D1177" s="30"/>
      <c r="E1177" s="18"/>
      <c r="F1177" s="31"/>
      <c r="G1177" s="31"/>
      <c r="H1177" s="37" t="str">
        <f t="shared" ca="1" si="14"/>
        <v/>
      </c>
    </row>
    <row r="1178" spans="1:8" x14ac:dyDescent="0.2">
      <c r="A1178" s="17"/>
      <c r="B1178" s="18"/>
      <c r="C1178" s="19"/>
      <c r="D1178" s="30"/>
      <c r="E1178" s="18"/>
      <c r="F1178" s="31"/>
      <c r="G1178" s="31"/>
      <c r="H1178" s="37" t="str">
        <f t="shared" ca="1" si="14"/>
        <v/>
      </c>
    </row>
    <row r="1179" spans="1:8" x14ac:dyDescent="0.2">
      <c r="A1179" s="17"/>
      <c r="B1179" s="18"/>
      <c r="C1179" s="19"/>
      <c r="D1179" s="30"/>
      <c r="E1179" s="18"/>
      <c r="F1179" s="31"/>
      <c r="G1179" s="31"/>
      <c r="H1179" s="37" t="str">
        <f t="shared" ca="1" si="14"/>
        <v/>
      </c>
    </row>
    <row r="1180" spans="1:8" x14ac:dyDescent="0.2">
      <c r="A1180" s="17"/>
      <c r="B1180" s="18"/>
      <c r="C1180" s="19"/>
      <c r="D1180" s="30"/>
      <c r="E1180" s="18"/>
      <c r="F1180" s="31"/>
      <c r="G1180" s="31"/>
      <c r="H1180" s="37" t="str">
        <f t="shared" ca="1" si="14"/>
        <v/>
      </c>
    </row>
    <row r="1181" spans="1:8" x14ac:dyDescent="0.2">
      <c r="A1181" s="17"/>
      <c r="B1181" s="18"/>
      <c r="C1181" s="19"/>
      <c r="D1181" s="30"/>
      <c r="E1181" s="18"/>
      <c r="F1181" s="31"/>
      <c r="G1181" s="31"/>
      <c r="H1181" s="37" t="str">
        <f t="shared" ca="1" si="14"/>
        <v/>
      </c>
    </row>
    <row r="1182" spans="1:8" x14ac:dyDescent="0.2">
      <c r="A1182" s="17"/>
      <c r="B1182" s="18"/>
      <c r="C1182" s="19"/>
      <c r="D1182" s="30"/>
      <c r="E1182" s="18"/>
      <c r="F1182" s="31"/>
      <c r="G1182" s="31"/>
      <c r="H1182" s="37" t="str">
        <f t="shared" ca="1" si="14"/>
        <v/>
      </c>
    </row>
    <row r="1183" spans="1:8" x14ac:dyDescent="0.2">
      <c r="A1183" s="17"/>
      <c r="B1183" s="18"/>
      <c r="C1183" s="19"/>
      <c r="D1183" s="30"/>
      <c r="E1183" s="18"/>
      <c r="F1183" s="31"/>
      <c r="G1183" s="31"/>
      <c r="H1183" s="37" t="str">
        <f t="shared" ca="1" si="14"/>
        <v/>
      </c>
    </row>
    <row r="1184" spans="1:8" x14ac:dyDescent="0.2">
      <c r="A1184" s="17"/>
      <c r="B1184" s="18"/>
      <c r="C1184" s="19"/>
      <c r="D1184" s="30"/>
      <c r="E1184" s="18"/>
      <c r="F1184" s="31"/>
      <c r="G1184" s="31"/>
      <c r="H1184" s="37" t="str">
        <f t="shared" ca="1" si="14"/>
        <v/>
      </c>
    </row>
    <row r="1185" spans="1:8" x14ac:dyDescent="0.2">
      <c r="A1185" s="17"/>
      <c r="B1185" s="18"/>
      <c r="C1185" s="19"/>
      <c r="D1185" s="30"/>
      <c r="E1185" s="18"/>
      <c r="F1185" s="31"/>
      <c r="G1185" s="31"/>
      <c r="H1185" s="37" t="str">
        <f t="shared" ca="1" si="14"/>
        <v/>
      </c>
    </row>
    <row r="1186" spans="1:8" x14ac:dyDescent="0.2">
      <c r="A1186" s="17"/>
      <c r="B1186" s="18"/>
      <c r="C1186" s="19"/>
      <c r="D1186" s="30"/>
      <c r="E1186" s="18"/>
      <c r="F1186" s="31"/>
      <c r="G1186" s="31"/>
      <c r="H1186" s="37" t="str">
        <f t="shared" ca="1" si="14"/>
        <v/>
      </c>
    </row>
    <row r="1187" spans="1:8" x14ac:dyDescent="0.2">
      <c r="A1187" s="17"/>
      <c r="B1187" s="18"/>
      <c r="C1187" s="19"/>
      <c r="D1187" s="30"/>
      <c r="E1187" s="18"/>
      <c r="F1187" s="31"/>
      <c r="G1187" s="31"/>
      <c r="H1187" s="37" t="str">
        <f t="shared" ca="1" si="14"/>
        <v/>
      </c>
    </row>
    <row r="1188" spans="1:8" x14ac:dyDescent="0.2">
      <c r="A1188" s="17"/>
      <c r="B1188" s="18"/>
      <c r="C1188" s="19"/>
      <c r="D1188" s="30"/>
      <c r="E1188" s="18"/>
      <c r="F1188" s="31"/>
      <c r="G1188" s="31"/>
      <c r="H1188" s="37" t="str">
        <f t="shared" ca="1" si="14"/>
        <v/>
      </c>
    </row>
    <row r="1189" spans="1:8" x14ac:dyDescent="0.2">
      <c r="A1189" s="17"/>
      <c r="B1189" s="18"/>
      <c r="C1189" s="19"/>
      <c r="D1189" s="30"/>
      <c r="E1189" s="18"/>
      <c r="F1189" s="31"/>
      <c r="G1189" s="31"/>
      <c r="H1189" s="37" t="str">
        <f t="shared" ca="1" si="14"/>
        <v/>
      </c>
    </row>
    <row r="1190" spans="1:8" x14ac:dyDescent="0.2">
      <c r="A1190" s="17"/>
      <c r="B1190" s="18"/>
      <c r="C1190" s="19"/>
      <c r="D1190" s="30"/>
      <c r="E1190" s="18"/>
      <c r="F1190" s="31"/>
      <c r="G1190" s="31"/>
      <c r="H1190" s="37" t="str">
        <f t="shared" ca="1" si="14"/>
        <v/>
      </c>
    </row>
    <row r="1191" spans="1:8" x14ac:dyDescent="0.2">
      <c r="A1191" s="17"/>
      <c r="B1191" s="18"/>
      <c r="C1191" s="19"/>
      <c r="D1191" s="30"/>
      <c r="E1191" s="18"/>
      <c r="F1191" s="31"/>
      <c r="G1191" s="31"/>
      <c r="H1191" s="37" t="str">
        <f t="shared" ca="1" si="14"/>
        <v/>
      </c>
    </row>
    <row r="1192" spans="1:8" x14ac:dyDescent="0.2">
      <c r="A1192" s="17"/>
      <c r="B1192" s="18"/>
      <c r="C1192" s="19"/>
      <c r="D1192" s="30"/>
      <c r="E1192" s="18"/>
      <c r="F1192" s="31"/>
      <c r="G1192" s="31"/>
      <c r="H1192" s="37" t="str">
        <f t="shared" ca="1" si="14"/>
        <v/>
      </c>
    </row>
    <row r="1193" spans="1:8" x14ac:dyDescent="0.2">
      <c r="A1193" s="17"/>
      <c r="B1193" s="18"/>
      <c r="C1193" s="19"/>
      <c r="D1193" s="30"/>
      <c r="E1193" s="18"/>
      <c r="F1193" s="31"/>
      <c r="G1193" s="31"/>
      <c r="H1193" s="37" t="str">
        <f t="shared" ca="1" si="14"/>
        <v/>
      </c>
    </row>
    <row r="1194" spans="1:8" x14ac:dyDescent="0.2">
      <c r="A1194" s="17"/>
      <c r="B1194" s="18"/>
      <c r="C1194" s="19"/>
      <c r="D1194" s="30"/>
      <c r="E1194" s="18"/>
      <c r="F1194" s="31"/>
      <c r="G1194" s="31"/>
      <c r="H1194" s="37" t="str">
        <f t="shared" ca="1" si="14"/>
        <v/>
      </c>
    </row>
    <row r="1195" spans="1:8" x14ac:dyDescent="0.2">
      <c r="A1195" s="17"/>
      <c r="B1195" s="18"/>
      <c r="C1195" s="19"/>
      <c r="D1195" s="30"/>
      <c r="E1195" s="18"/>
      <c r="F1195" s="31"/>
      <c r="G1195" s="31"/>
      <c r="H1195" s="37" t="str">
        <f t="shared" ca="1" si="14"/>
        <v/>
      </c>
    </row>
    <row r="1196" spans="1:8" x14ac:dyDescent="0.2">
      <c r="A1196" s="17"/>
      <c r="B1196" s="18"/>
      <c r="C1196" s="19"/>
      <c r="D1196" s="30"/>
      <c r="E1196" s="18"/>
      <c r="F1196" s="31"/>
      <c r="G1196" s="31"/>
      <c r="H1196" s="37" t="str">
        <f t="shared" ca="1" si="14"/>
        <v/>
      </c>
    </row>
    <row r="1197" spans="1:8" x14ac:dyDescent="0.2">
      <c r="A1197" s="17"/>
      <c r="B1197" s="18"/>
      <c r="C1197" s="19"/>
      <c r="D1197" s="30"/>
      <c r="E1197" s="18"/>
      <c r="F1197" s="31"/>
      <c r="G1197" s="31"/>
      <c r="H1197" s="37" t="str">
        <f t="shared" ca="1" si="14"/>
        <v/>
      </c>
    </row>
    <row r="1198" spans="1:8" x14ac:dyDescent="0.2">
      <c r="A1198" s="17"/>
      <c r="B1198" s="18"/>
      <c r="C1198" s="19"/>
      <c r="D1198" s="30"/>
      <c r="E1198" s="18"/>
      <c r="F1198" s="31"/>
      <c r="G1198" s="31"/>
      <c r="H1198" s="37" t="str">
        <f t="shared" ref="H1198:H1220" ca="1" si="15">IF(AND(ISBLANK(F1198),ISBLANK(G1198)),"",OFFSET(H1198,-1,0,1,1)+G1198-F1198)</f>
        <v/>
      </c>
    </row>
    <row r="1199" spans="1:8" x14ac:dyDescent="0.2">
      <c r="A1199" s="17"/>
      <c r="B1199" s="18"/>
      <c r="C1199" s="19"/>
      <c r="D1199" s="30"/>
      <c r="E1199" s="18"/>
      <c r="F1199" s="31"/>
      <c r="G1199" s="31"/>
      <c r="H1199" s="37" t="str">
        <f t="shared" ca="1" si="15"/>
        <v/>
      </c>
    </row>
    <row r="1200" spans="1:8" x14ac:dyDescent="0.2">
      <c r="A1200" s="17"/>
      <c r="B1200" s="18"/>
      <c r="C1200" s="19"/>
      <c r="D1200" s="30"/>
      <c r="E1200" s="18"/>
      <c r="F1200" s="31"/>
      <c r="G1200" s="31"/>
      <c r="H1200" s="37" t="str">
        <f t="shared" ca="1" si="15"/>
        <v/>
      </c>
    </row>
    <row r="1201" spans="1:8" x14ac:dyDescent="0.2">
      <c r="A1201" s="17"/>
      <c r="B1201" s="18"/>
      <c r="C1201" s="19"/>
      <c r="D1201" s="30"/>
      <c r="E1201" s="18"/>
      <c r="F1201" s="31"/>
      <c r="G1201" s="31"/>
      <c r="H1201" s="37" t="str">
        <f t="shared" ca="1" si="15"/>
        <v/>
      </c>
    </row>
    <row r="1202" spans="1:8" x14ac:dyDescent="0.2">
      <c r="A1202" s="17"/>
      <c r="B1202" s="18"/>
      <c r="C1202" s="19"/>
      <c r="D1202" s="30"/>
      <c r="E1202" s="18"/>
      <c r="F1202" s="31"/>
      <c r="G1202" s="31"/>
      <c r="H1202" s="37" t="str">
        <f t="shared" ca="1" si="15"/>
        <v/>
      </c>
    </row>
    <row r="1203" spans="1:8" x14ac:dyDescent="0.2">
      <c r="A1203" s="17"/>
      <c r="B1203" s="18"/>
      <c r="C1203" s="19"/>
      <c r="D1203" s="30"/>
      <c r="E1203" s="18"/>
      <c r="F1203" s="31"/>
      <c r="G1203" s="31"/>
      <c r="H1203" s="37" t="str">
        <f t="shared" ca="1" si="15"/>
        <v/>
      </c>
    </row>
    <row r="1204" spans="1:8" x14ac:dyDescent="0.2">
      <c r="A1204" s="17"/>
      <c r="B1204" s="18"/>
      <c r="C1204" s="19"/>
      <c r="D1204" s="30"/>
      <c r="E1204" s="18"/>
      <c r="F1204" s="31"/>
      <c r="G1204" s="31"/>
      <c r="H1204" s="37" t="str">
        <f t="shared" ca="1" si="15"/>
        <v/>
      </c>
    </row>
    <row r="1205" spans="1:8" x14ac:dyDescent="0.2">
      <c r="A1205" s="17"/>
      <c r="B1205" s="18"/>
      <c r="C1205" s="19"/>
      <c r="D1205" s="30"/>
      <c r="E1205" s="18"/>
      <c r="F1205" s="31"/>
      <c r="G1205" s="31"/>
      <c r="H1205" s="37" t="str">
        <f t="shared" ca="1" si="15"/>
        <v/>
      </c>
    </row>
    <row r="1206" spans="1:8" x14ac:dyDescent="0.2">
      <c r="A1206" s="17"/>
      <c r="B1206" s="18"/>
      <c r="C1206" s="19"/>
      <c r="D1206" s="30"/>
      <c r="E1206" s="18"/>
      <c r="F1206" s="31"/>
      <c r="G1206" s="31"/>
      <c r="H1206" s="37" t="str">
        <f t="shared" ca="1" si="15"/>
        <v/>
      </c>
    </row>
    <row r="1207" spans="1:8" x14ac:dyDescent="0.2">
      <c r="A1207" s="17"/>
      <c r="B1207" s="18"/>
      <c r="C1207" s="19"/>
      <c r="D1207" s="30"/>
      <c r="E1207" s="18"/>
      <c r="F1207" s="31"/>
      <c r="G1207" s="31"/>
      <c r="H1207" s="37" t="str">
        <f t="shared" ca="1" si="15"/>
        <v/>
      </c>
    </row>
    <row r="1208" spans="1:8" x14ac:dyDescent="0.2">
      <c r="A1208" s="17"/>
      <c r="B1208" s="18"/>
      <c r="C1208" s="19"/>
      <c r="D1208" s="30"/>
      <c r="E1208" s="18"/>
      <c r="F1208" s="31"/>
      <c r="G1208" s="31"/>
      <c r="H1208" s="37" t="str">
        <f t="shared" ca="1" si="15"/>
        <v/>
      </c>
    </row>
    <row r="1209" spans="1:8" x14ac:dyDescent="0.2">
      <c r="A1209" s="17"/>
      <c r="B1209" s="18"/>
      <c r="C1209" s="19"/>
      <c r="D1209" s="30"/>
      <c r="E1209" s="18"/>
      <c r="F1209" s="31"/>
      <c r="G1209" s="31"/>
      <c r="H1209" s="37" t="str">
        <f t="shared" ca="1" si="15"/>
        <v/>
      </c>
    </row>
    <row r="1210" spans="1:8" x14ac:dyDescent="0.2">
      <c r="A1210" s="17"/>
      <c r="B1210" s="18"/>
      <c r="C1210" s="19"/>
      <c r="D1210" s="30"/>
      <c r="E1210" s="18"/>
      <c r="F1210" s="31"/>
      <c r="G1210" s="31"/>
      <c r="H1210" s="37" t="str">
        <f t="shared" ca="1" si="15"/>
        <v/>
      </c>
    </row>
    <row r="1211" spans="1:8" x14ac:dyDescent="0.2">
      <c r="A1211" s="17"/>
      <c r="B1211" s="18"/>
      <c r="C1211" s="19"/>
      <c r="D1211" s="30"/>
      <c r="E1211" s="18"/>
      <c r="F1211" s="31"/>
      <c r="G1211" s="31"/>
      <c r="H1211" s="37" t="str">
        <f t="shared" ca="1" si="15"/>
        <v/>
      </c>
    </row>
    <row r="1212" spans="1:8" x14ac:dyDescent="0.2">
      <c r="A1212" s="17"/>
      <c r="B1212" s="18"/>
      <c r="C1212" s="19"/>
      <c r="D1212" s="30"/>
      <c r="E1212" s="18"/>
      <c r="F1212" s="31"/>
      <c r="G1212" s="31"/>
      <c r="H1212" s="37" t="str">
        <f t="shared" ca="1" si="15"/>
        <v/>
      </c>
    </row>
    <row r="1213" spans="1:8" x14ac:dyDescent="0.2">
      <c r="A1213" s="17"/>
      <c r="B1213" s="18"/>
      <c r="C1213" s="19"/>
      <c r="D1213" s="30"/>
      <c r="E1213" s="18"/>
      <c r="F1213" s="31"/>
      <c r="G1213" s="31"/>
      <c r="H1213" s="37" t="str">
        <f t="shared" ca="1" si="15"/>
        <v/>
      </c>
    </row>
    <row r="1214" spans="1:8" x14ac:dyDescent="0.2">
      <c r="A1214" s="17"/>
      <c r="B1214" s="18"/>
      <c r="C1214" s="19"/>
      <c r="D1214" s="30"/>
      <c r="E1214" s="18"/>
      <c r="F1214" s="31"/>
      <c r="G1214" s="31"/>
      <c r="H1214" s="37" t="str">
        <f t="shared" ca="1" si="15"/>
        <v/>
      </c>
    </row>
    <row r="1215" spans="1:8" x14ac:dyDescent="0.2">
      <c r="A1215" s="17"/>
      <c r="B1215" s="18"/>
      <c r="C1215" s="19"/>
      <c r="D1215" s="30"/>
      <c r="E1215" s="18"/>
      <c r="F1215" s="31"/>
      <c r="G1215" s="31"/>
      <c r="H1215" s="37" t="str">
        <f t="shared" ca="1" si="15"/>
        <v/>
      </c>
    </row>
    <row r="1216" spans="1:8" x14ac:dyDescent="0.2">
      <c r="A1216" s="17"/>
      <c r="B1216" s="18"/>
      <c r="C1216" s="19"/>
      <c r="D1216" s="30"/>
      <c r="E1216" s="18"/>
      <c r="F1216" s="31"/>
      <c r="G1216" s="31"/>
      <c r="H1216" s="37" t="str">
        <f t="shared" ca="1" si="15"/>
        <v/>
      </c>
    </row>
    <row r="1217" spans="1:8" x14ac:dyDescent="0.2">
      <c r="A1217" s="17"/>
      <c r="B1217" s="18"/>
      <c r="C1217" s="19"/>
      <c r="D1217" s="30"/>
      <c r="E1217" s="18"/>
      <c r="F1217" s="31"/>
      <c r="G1217" s="31"/>
      <c r="H1217" s="37" t="str">
        <f t="shared" ca="1" si="15"/>
        <v/>
      </c>
    </row>
    <row r="1218" spans="1:8" x14ac:dyDescent="0.2">
      <c r="A1218" s="17"/>
      <c r="B1218" s="18"/>
      <c r="C1218" s="19"/>
      <c r="D1218" s="30"/>
      <c r="E1218" s="18"/>
      <c r="F1218" s="31"/>
      <c r="G1218" s="31"/>
      <c r="H1218" s="37" t="str">
        <f t="shared" ca="1" si="15"/>
        <v/>
      </c>
    </row>
    <row r="1219" spans="1:8" x14ac:dyDescent="0.2">
      <c r="A1219" s="17"/>
      <c r="B1219" s="18"/>
      <c r="C1219" s="19"/>
      <c r="D1219" s="30"/>
      <c r="E1219" s="18"/>
      <c r="F1219" s="31"/>
      <c r="G1219" s="31"/>
      <c r="H1219" s="37" t="str">
        <f t="shared" ca="1" si="15"/>
        <v/>
      </c>
    </row>
    <row r="1220" spans="1:8" x14ac:dyDescent="0.2">
      <c r="A1220" s="17"/>
      <c r="B1220" s="18"/>
      <c r="C1220" s="19"/>
      <c r="D1220" s="30"/>
      <c r="E1220" s="18"/>
      <c r="F1220" s="31"/>
      <c r="G1220" s="31"/>
      <c r="H1220" s="37" t="str">
        <f t="shared" ca="1" si="15"/>
        <v/>
      </c>
    </row>
    <row r="1221" spans="1:8" x14ac:dyDescent="0.2">
      <c r="A1221" s="17"/>
      <c r="B1221" s="18"/>
      <c r="C1221" s="19"/>
      <c r="D1221" s="30"/>
      <c r="E1221" s="18"/>
      <c r="F1221" s="31"/>
      <c r="G1221" s="31"/>
      <c r="H1221" s="37" t="str">
        <f t="shared" ca="1" si="7"/>
        <v/>
      </c>
    </row>
    <row r="1222" spans="1:8" x14ac:dyDescent="0.2">
      <c r="A1222" s="17"/>
      <c r="B1222" s="18"/>
      <c r="C1222" s="19"/>
      <c r="D1222" s="30"/>
      <c r="E1222" s="18"/>
      <c r="F1222" s="31"/>
      <c r="G1222" s="31"/>
      <c r="H1222" s="37" t="str">
        <f t="shared" ca="1" si="7"/>
        <v/>
      </c>
    </row>
    <row r="1223" spans="1:8" x14ac:dyDescent="0.2">
      <c r="A1223" s="17"/>
      <c r="B1223" s="18"/>
      <c r="C1223" s="19"/>
      <c r="D1223" s="30"/>
      <c r="E1223" s="18"/>
      <c r="F1223" s="31"/>
      <c r="G1223" s="31"/>
      <c r="H1223" s="37" t="str">
        <f t="shared" ca="1" si="7"/>
        <v/>
      </c>
    </row>
    <row r="1224" spans="1:8" x14ac:dyDescent="0.2">
      <c r="A1224" s="17"/>
      <c r="B1224" s="18"/>
      <c r="C1224" s="19"/>
      <c r="D1224" s="30"/>
      <c r="E1224" s="18"/>
      <c r="F1224" s="31"/>
      <c r="G1224" s="31"/>
      <c r="H1224" s="37" t="str">
        <f t="shared" ca="1" si="7"/>
        <v/>
      </c>
    </row>
    <row r="1225" spans="1:8" x14ac:dyDescent="0.2">
      <c r="A1225" s="17"/>
      <c r="B1225" s="18"/>
      <c r="C1225" s="19"/>
      <c r="D1225" s="30"/>
      <c r="E1225" s="18"/>
      <c r="F1225" s="31"/>
      <c r="G1225" s="31"/>
      <c r="H1225" s="37" t="str">
        <f t="shared" ca="1" si="7"/>
        <v/>
      </c>
    </row>
    <row r="1226" spans="1:8" x14ac:dyDescent="0.2">
      <c r="A1226" s="17"/>
      <c r="B1226" s="18"/>
      <c r="C1226" s="19"/>
      <c r="D1226" s="30"/>
      <c r="E1226" s="18"/>
      <c r="F1226" s="31"/>
      <c r="G1226" s="31"/>
      <c r="H1226" s="37" t="str">
        <f t="shared" ca="1" si="7"/>
        <v/>
      </c>
    </row>
    <row r="1227" spans="1:8" x14ac:dyDescent="0.2">
      <c r="A1227" s="17"/>
      <c r="B1227" s="18"/>
      <c r="C1227" s="19"/>
      <c r="D1227" s="30"/>
      <c r="E1227" s="18"/>
      <c r="F1227" s="31"/>
      <c r="G1227" s="31"/>
      <c r="H1227" s="37" t="str">
        <f t="shared" ca="1" si="7"/>
        <v/>
      </c>
    </row>
    <row r="1228" spans="1:8" x14ac:dyDescent="0.2">
      <c r="A1228" s="17"/>
      <c r="B1228" s="18"/>
      <c r="C1228" s="19"/>
      <c r="D1228" s="30"/>
      <c r="E1228" s="18"/>
      <c r="F1228" s="31"/>
      <c r="G1228" s="31"/>
      <c r="H1228" s="37" t="str">
        <f t="shared" ca="1" si="7"/>
        <v/>
      </c>
    </row>
    <row r="1229" spans="1:8" x14ac:dyDescent="0.2">
      <c r="A1229" s="17"/>
      <c r="B1229" s="18"/>
      <c r="C1229" s="19"/>
      <c r="D1229" s="30"/>
      <c r="E1229" s="18"/>
      <c r="F1229" s="31"/>
      <c r="G1229" s="31"/>
      <c r="H1229" s="37" t="str">
        <f t="shared" ca="1" si="7"/>
        <v/>
      </c>
    </row>
    <row r="1230" spans="1:8" x14ac:dyDescent="0.2">
      <c r="A1230" s="17"/>
      <c r="B1230" s="18"/>
      <c r="C1230" s="19"/>
      <c r="D1230" s="30"/>
      <c r="E1230" s="18"/>
      <c r="F1230" s="31"/>
      <c r="G1230" s="31"/>
      <c r="H1230" s="37" t="str">
        <f t="shared" ca="1" si="7"/>
        <v/>
      </c>
    </row>
    <row r="1231" spans="1:8" x14ac:dyDescent="0.2">
      <c r="A1231" s="17"/>
      <c r="B1231" s="18"/>
      <c r="C1231" s="19"/>
      <c r="D1231" s="30"/>
      <c r="E1231" s="18"/>
      <c r="F1231" s="31"/>
      <c r="G1231" s="31"/>
      <c r="H1231" s="37" t="str">
        <f t="shared" ca="1" si="7"/>
        <v/>
      </c>
    </row>
    <row r="1232" spans="1:8" x14ac:dyDescent="0.2">
      <c r="A1232" s="17"/>
      <c r="B1232" s="18"/>
      <c r="C1232" s="19"/>
      <c r="D1232" s="30"/>
      <c r="E1232" s="18"/>
      <c r="F1232" s="31"/>
      <c r="G1232" s="31"/>
      <c r="H1232" s="37" t="str">
        <f t="shared" ca="1" si="7"/>
        <v/>
      </c>
    </row>
    <row r="1233" spans="1:8" x14ac:dyDescent="0.2">
      <c r="A1233" s="17"/>
      <c r="B1233" s="18"/>
      <c r="C1233" s="19"/>
      <c r="D1233" s="30"/>
      <c r="E1233" s="18"/>
      <c r="F1233" s="31"/>
      <c r="G1233" s="31"/>
      <c r="H1233" s="37" t="str">
        <f t="shared" ca="1" si="7"/>
        <v/>
      </c>
    </row>
    <row r="1234" spans="1:8" x14ac:dyDescent="0.2">
      <c r="A1234" s="17"/>
      <c r="B1234" s="18"/>
      <c r="C1234" s="19"/>
      <c r="D1234" s="30"/>
      <c r="E1234" s="18"/>
      <c r="F1234" s="31"/>
      <c r="G1234" s="31"/>
      <c r="H1234" s="37" t="str">
        <f t="shared" ca="1" si="7"/>
        <v/>
      </c>
    </row>
    <row r="1235" spans="1:8" x14ac:dyDescent="0.2">
      <c r="A1235" s="17"/>
      <c r="B1235" s="18"/>
      <c r="C1235" s="19"/>
      <c r="D1235" s="30"/>
      <c r="E1235" s="18"/>
      <c r="F1235" s="31"/>
      <c r="G1235" s="31"/>
      <c r="H1235" s="37" t="str">
        <f t="shared" ca="1" si="7"/>
        <v/>
      </c>
    </row>
    <row r="1236" spans="1:8" x14ac:dyDescent="0.2">
      <c r="A1236" s="17"/>
      <c r="B1236" s="18"/>
      <c r="C1236" s="19"/>
      <c r="D1236" s="30"/>
      <c r="E1236" s="18"/>
      <c r="F1236" s="31"/>
      <c r="G1236" s="31"/>
      <c r="H1236" s="37" t="str">
        <f t="shared" ca="1" si="7"/>
        <v/>
      </c>
    </row>
    <row r="1237" spans="1:8" x14ac:dyDescent="0.2">
      <c r="A1237" s="17"/>
      <c r="B1237" s="18"/>
      <c r="C1237" s="19"/>
      <c r="D1237" s="30"/>
      <c r="E1237" s="18"/>
      <c r="F1237" s="31"/>
      <c r="G1237" s="31"/>
      <c r="H1237" s="37" t="str">
        <f t="shared" ref="H1237" ca="1" si="16">IF(AND(ISBLANK(F1237),ISBLANK(G1237)),"",OFFSET(H1237,-1,0,1,1)+G1237-F1237)</f>
        <v/>
      </c>
    </row>
    <row r="1238" spans="1:8" x14ac:dyDescent="0.2">
      <c r="A1238" s="17"/>
      <c r="B1238" s="18"/>
      <c r="C1238" s="19"/>
      <c r="D1238" s="30"/>
      <c r="E1238" s="18"/>
      <c r="F1238" s="31"/>
      <c r="G1238" s="31"/>
      <c r="H1238" s="37" t="str">
        <f t="shared" ca="1" si="2"/>
        <v/>
      </c>
    </row>
    <row r="1239" spans="1:8" x14ac:dyDescent="0.2">
      <c r="A1239" s="17"/>
      <c r="B1239" s="18"/>
      <c r="C1239" s="19"/>
      <c r="D1239" s="30"/>
      <c r="E1239" s="18"/>
      <c r="F1239" s="31"/>
      <c r="G1239" s="31"/>
      <c r="H1239" s="37" t="str">
        <f t="shared" ca="1" si="2"/>
        <v/>
      </c>
    </row>
    <row r="1240" spans="1:8" x14ac:dyDescent="0.2">
      <c r="A1240" s="17"/>
      <c r="B1240" s="18"/>
      <c r="C1240" s="19"/>
      <c r="D1240" s="30"/>
      <c r="E1240" s="18"/>
      <c r="F1240" s="31"/>
      <c r="G1240" s="31"/>
      <c r="H1240" s="37" t="str">
        <f t="shared" ca="1" si="2"/>
        <v/>
      </c>
    </row>
    <row r="1241" spans="1:8" x14ac:dyDescent="0.2">
      <c r="A1241" s="32"/>
      <c r="B1241" s="33"/>
      <c r="C1241" s="34"/>
      <c r="D1241" s="35"/>
      <c r="E1241" s="33"/>
      <c r="F1241" s="36"/>
      <c r="G1241" s="36"/>
      <c r="H1241" s="38" t="str">
        <f t="shared" ca="1" si="2"/>
        <v/>
      </c>
    </row>
    <row r="1242" spans="1:8" x14ac:dyDescent="0.2">
      <c r="A1242" s="39" t="s">
        <v>67</v>
      </c>
      <c r="B1242" s="40"/>
      <c r="C1242" s="41"/>
      <c r="D1242" s="42"/>
      <c r="E1242" s="40"/>
      <c r="F1242" s="42"/>
      <c r="G1242" s="42"/>
      <c r="H1242" s="43" t="e">
        <f>SUBTOTAL(103,#REF!)</f>
        <v>#REF!</v>
      </c>
    </row>
  </sheetData>
  <mergeCells count="1">
    <mergeCell ref="F1:H1"/>
  </mergeCells>
  <conditionalFormatting sqref="H3 H15:H1241">
    <cfRule type="cellIs" dxfId="0" priority="2" operator="lessThan">
      <formula>0</formula>
    </cfRule>
  </conditionalFormatting>
  <dataValidations count="5">
    <dataValidation type="list" allowBlank="1" showInputMessage="1" showErrorMessage="1" sqref="D16" xr:uid="{00000000-0002-0000-0000-000000000000}">
      <formula1>categoryList</formula1>
      <formula2>0</formula2>
    </dataValidation>
    <dataValidation type="list" allowBlank="1" showInputMessage="1" showErrorMessage="1" sqref="E16" xr:uid="{00000000-0002-0000-0000-000001000000}">
      <formula1>reconcileList</formula1>
      <formula2>0</formula2>
    </dataValidation>
    <dataValidation type="list" allowBlank="1" showInputMessage="1" showErrorMessage="1" sqref="A16" xr:uid="{00000000-0002-0000-0000-000002000000}">
      <formula1>dateList</formula1>
      <formula2>0</formula2>
    </dataValidation>
    <dataValidation type="list" allowBlank="1" showInputMessage="1" showErrorMessage="1" sqref="B16" xr:uid="{00000000-0002-0000-0000-000003000000}">
      <formula1>numList</formula1>
      <formula2>0</formula2>
    </dataValidation>
    <dataValidation type="list" allowBlank="1" showInputMessage="1" showErrorMessage="1" sqref="C16" xr:uid="{00000000-0002-0000-0000-000004000000}">
      <formula1>payeeList</formula1>
      <formula2>0</formula2>
    </dataValidation>
  </dataValidations>
  <printOptions horizontalCentered="1"/>
  <pageMargins left="0.5" right="0.5" top="0.5" bottom="0.5" header="0.51180555555555496" footer="0.25"/>
  <pageSetup firstPageNumber="0" fitToHeight="0" orientation="portrait" horizontalDpi="300" verticalDpi="300"/>
  <headerFooter>
    <oddFooter>&amp;L&amp;8Checkbook Register Template by Vertex42.com&amp;R&amp;8© 2008-2012 Vertex42 LLC</oddFooter>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35"/>
  <sheetViews>
    <sheetView showGridLines="0" zoomScaleNormal="100" workbookViewId="0">
      <selection activeCell="K17" sqref="K17"/>
    </sheetView>
  </sheetViews>
  <sheetFormatPr defaultRowHeight="14.25" x14ac:dyDescent="0.2"/>
  <cols>
    <col min="1" max="1" width="26.25" customWidth="1"/>
    <col min="2" max="2" width="2.75" customWidth="1"/>
    <col min="3" max="3" width="27.5" customWidth="1"/>
    <col min="4" max="4" width="2.75" customWidth="1"/>
    <col min="5" max="5" width="12.75" customWidth="1"/>
    <col min="6" max="6" width="2.75" customWidth="1"/>
    <col min="7" max="7" width="8.625" customWidth="1"/>
    <col min="8" max="8" width="2.75" customWidth="1"/>
    <col min="9" max="1025" width="8.625" customWidth="1"/>
  </cols>
  <sheetData>
    <row r="1" spans="1:9" s="45" customFormat="1" ht="19.5" customHeight="1" x14ac:dyDescent="0.2">
      <c r="A1" s="44" t="s">
        <v>68</v>
      </c>
      <c r="C1" s="44" t="s">
        <v>69</v>
      </c>
      <c r="E1" s="44" t="s">
        <v>5</v>
      </c>
      <c r="G1" s="44" t="s">
        <v>9</v>
      </c>
    </row>
    <row r="2" spans="1:9" s="45" customFormat="1" x14ac:dyDescent="0.2">
      <c r="A2" s="46"/>
      <c r="C2" s="47"/>
      <c r="E2" s="48"/>
      <c r="G2" s="48"/>
    </row>
    <row r="3" spans="1:9" x14ac:dyDescent="0.2">
      <c r="A3" s="46" t="s">
        <v>70</v>
      </c>
      <c r="C3" s="47" t="s">
        <v>71</v>
      </c>
      <c r="E3" s="49">
        <f ca="1">TODAY()</f>
        <v>46094</v>
      </c>
      <c r="G3" s="48" t="s">
        <v>9</v>
      </c>
      <c r="I3" s="50" t="s">
        <v>72</v>
      </c>
    </row>
    <row r="4" spans="1:9" x14ac:dyDescent="0.2">
      <c r="A4" s="46" t="s">
        <v>73</v>
      </c>
      <c r="C4" s="46" t="s">
        <v>74</v>
      </c>
      <c r="E4" s="49">
        <f t="shared" ref="E4:E17" ca="1" si="0">E3-1</f>
        <v>46093</v>
      </c>
      <c r="G4" s="48" t="s">
        <v>75</v>
      </c>
      <c r="I4" s="50" t="s">
        <v>76</v>
      </c>
    </row>
    <row r="5" spans="1:9" x14ac:dyDescent="0.2">
      <c r="A5" s="46" t="s">
        <v>77</v>
      </c>
      <c r="C5" s="46" t="s">
        <v>78</v>
      </c>
      <c r="E5" s="49">
        <f t="shared" ca="1" si="0"/>
        <v>46092</v>
      </c>
      <c r="G5" s="48" t="s">
        <v>35</v>
      </c>
    </row>
    <row r="6" spans="1:9" x14ac:dyDescent="0.2">
      <c r="A6" s="46" t="s">
        <v>79</v>
      </c>
      <c r="C6" s="46" t="s">
        <v>80</v>
      </c>
      <c r="E6" s="49">
        <f t="shared" ca="1" si="0"/>
        <v>46091</v>
      </c>
      <c r="G6" s="48" t="s">
        <v>14</v>
      </c>
      <c r="I6" s="50" t="s">
        <v>81</v>
      </c>
    </row>
    <row r="7" spans="1:9" x14ac:dyDescent="0.2">
      <c r="A7" s="46" t="s">
        <v>82</v>
      </c>
      <c r="C7" s="46" t="s">
        <v>16</v>
      </c>
      <c r="E7" s="49">
        <f t="shared" ca="1" si="0"/>
        <v>46090</v>
      </c>
      <c r="G7" s="48"/>
    </row>
    <row r="8" spans="1:9" x14ac:dyDescent="0.2">
      <c r="A8" s="46" t="s">
        <v>83</v>
      </c>
      <c r="C8" s="46" t="s">
        <v>84</v>
      </c>
      <c r="E8" s="49">
        <f t="shared" ca="1" si="0"/>
        <v>46089</v>
      </c>
      <c r="G8" s="48"/>
      <c r="I8" s="50" t="s">
        <v>85</v>
      </c>
    </row>
    <row r="9" spans="1:9" x14ac:dyDescent="0.2">
      <c r="A9" s="46" t="s">
        <v>86</v>
      </c>
      <c r="C9" s="46" t="s">
        <v>87</v>
      </c>
      <c r="E9" s="49">
        <f t="shared" ca="1" si="0"/>
        <v>46088</v>
      </c>
      <c r="G9" s="48"/>
      <c r="I9" s="50" t="s">
        <v>88</v>
      </c>
    </row>
    <row r="10" spans="1:9" x14ac:dyDescent="0.2">
      <c r="A10" s="46" t="s">
        <v>89</v>
      </c>
      <c r="C10" s="46" t="s">
        <v>90</v>
      </c>
      <c r="E10" s="49">
        <f t="shared" ca="1" si="0"/>
        <v>46087</v>
      </c>
      <c r="G10" s="48"/>
    </row>
    <row r="11" spans="1:9" x14ac:dyDescent="0.2">
      <c r="A11" s="46" t="s">
        <v>91</v>
      </c>
      <c r="C11" s="46"/>
      <c r="E11" s="49">
        <f t="shared" ca="1" si="0"/>
        <v>46086</v>
      </c>
      <c r="G11" s="48"/>
    </row>
    <row r="12" spans="1:9" x14ac:dyDescent="0.2">
      <c r="A12" s="46" t="s">
        <v>92</v>
      </c>
      <c r="C12" s="46"/>
      <c r="E12" s="49">
        <f t="shared" ca="1" si="0"/>
        <v>46085</v>
      </c>
    </row>
    <row r="13" spans="1:9" x14ac:dyDescent="0.2">
      <c r="A13" s="46" t="s">
        <v>13</v>
      </c>
      <c r="C13" s="46"/>
      <c r="E13" s="49">
        <f t="shared" ca="1" si="0"/>
        <v>46084</v>
      </c>
    </row>
    <row r="14" spans="1:9" x14ac:dyDescent="0.2">
      <c r="A14" s="46" t="s">
        <v>93</v>
      </c>
      <c r="C14" s="46"/>
      <c r="E14" s="49">
        <f t="shared" ca="1" si="0"/>
        <v>46083</v>
      </c>
    </row>
    <row r="15" spans="1:9" x14ac:dyDescent="0.2">
      <c r="A15" s="46" t="s">
        <v>94</v>
      </c>
      <c r="C15" s="46"/>
      <c r="E15" s="49">
        <f t="shared" ca="1" si="0"/>
        <v>46082</v>
      </c>
    </row>
    <row r="16" spans="1:9" x14ac:dyDescent="0.2">
      <c r="A16" s="46" t="s">
        <v>95</v>
      </c>
      <c r="C16" s="46"/>
      <c r="E16" s="49">
        <f t="shared" ca="1" si="0"/>
        <v>46081</v>
      </c>
    </row>
    <row r="17" spans="1:5" x14ac:dyDescent="0.2">
      <c r="A17" s="46" t="s">
        <v>96</v>
      </c>
      <c r="C17" s="46"/>
      <c r="E17" s="49">
        <f t="shared" ca="1" si="0"/>
        <v>46080</v>
      </c>
    </row>
    <row r="18" spans="1:5" x14ac:dyDescent="0.2">
      <c r="A18" s="46" t="s">
        <v>97</v>
      </c>
      <c r="C18" s="46"/>
      <c r="E18" s="48"/>
    </row>
    <row r="19" spans="1:5" x14ac:dyDescent="0.2">
      <c r="A19" s="46" t="s">
        <v>98</v>
      </c>
      <c r="C19" s="46"/>
      <c r="E19" s="48"/>
    </row>
    <row r="20" spans="1:5" x14ac:dyDescent="0.2">
      <c r="A20" s="46" t="s">
        <v>99</v>
      </c>
      <c r="C20" s="46"/>
      <c r="E20" s="48"/>
    </row>
    <row r="21" spans="1:5" x14ac:dyDescent="0.2">
      <c r="A21" s="46" t="s">
        <v>100</v>
      </c>
      <c r="C21" s="46"/>
      <c r="E21" s="48"/>
    </row>
    <row r="22" spans="1:5" x14ac:dyDescent="0.2">
      <c r="A22" s="46" t="s">
        <v>101</v>
      </c>
      <c r="C22" s="46"/>
      <c r="E22" s="48"/>
    </row>
    <row r="23" spans="1:5" x14ac:dyDescent="0.2">
      <c r="A23" s="46" t="s">
        <v>102</v>
      </c>
      <c r="C23" s="46"/>
    </row>
    <row r="24" spans="1:5" x14ac:dyDescent="0.2">
      <c r="A24" s="46" t="s">
        <v>103</v>
      </c>
      <c r="C24" s="46"/>
    </row>
    <row r="25" spans="1:5" x14ac:dyDescent="0.2">
      <c r="A25" s="46" t="s">
        <v>104</v>
      </c>
      <c r="C25" s="46"/>
    </row>
    <row r="26" spans="1:5" x14ac:dyDescent="0.2">
      <c r="A26" s="46" t="s">
        <v>24</v>
      </c>
      <c r="C26" s="46"/>
    </row>
    <row r="27" spans="1:5" x14ac:dyDescent="0.2">
      <c r="A27" s="46" t="s">
        <v>105</v>
      </c>
      <c r="C27" s="46"/>
    </row>
    <row r="28" spans="1:5" x14ac:dyDescent="0.2">
      <c r="A28" s="46" t="s">
        <v>106</v>
      </c>
      <c r="C28" s="46"/>
    </row>
    <row r="29" spans="1:5" x14ac:dyDescent="0.2">
      <c r="A29" s="46" t="s">
        <v>107</v>
      </c>
      <c r="C29" s="46"/>
    </row>
    <row r="30" spans="1:5" x14ac:dyDescent="0.2">
      <c r="A30" s="46" t="s">
        <v>108</v>
      </c>
      <c r="C30" s="46"/>
    </row>
    <row r="31" spans="1:5" x14ac:dyDescent="0.2">
      <c r="A31" s="46" t="s">
        <v>109</v>
      </c>
      <c r="C31" s="46"/>
    </row>
    <row r="32" spans="1:5" x14ac:dyDescent="0.2">
      <c r="A32" s="46" t="s">
        <v>110</v>
      </c>
      <c r="C32" s="46"/>
    </row>
    <row r="33" spans="1:3" x14ac:dyDescent="0.2">
      <c r="A33" s="46" t="s">
        <v>111</v>
      </c>
      <c r="C33" s="46"/>
    </row>
    <row r="34" spans="1:3" x14ac:dyDescent="0.2">
      <c r="A34" s="46" t="s">
        <v>112</v>
      </c>
      <c r="C34" s="46"/>
    </row>
    <row r="35" spans="1:3" x14ac:dyDescent="0.2">
      <c r="A35" s="46" t="s">
        <v>113</v>
      </c>
      <c r="C35" s="46"/>
    </row>
    <row r="36" spans="1:3" x14ac:dyDescent="0.2">
      <c r="A36" s="46" t="s">
        <v>114</v>
      </c>
      <c r="C36" s="46"/>
    </row>
    <row r="37" spans="1:3" x14ac:dyDescent="0.2">
      <c r="A37" s="46" t="s">
        <v>115</v>
      </c>
      <c r="C37" s="46"/>
    </row>
    <row r="38" spans="1:3" x14ac:dyDescent="0.2">
      <c r="A38" s="46" t="s">
        <v>116</v>
      </c>
      <c r="C38" s="46"/>
    </row>
    <row r="39" spans="1:3" x14ac:dyDescent="0.2">
      <c r="A39" s="46" t="s">
        <v>117</v>
      </c>
      <c r="C39" s="46"/>
    </row>
    <row r="40" spans="1:3" x14ac:dyDescent="0.2">
      <c r="A40" s="46" t="s">
        <v>19</v>
      </c>
      <c r="C40" s="46"/>
    </row>
    <row r="41" spans="1:3" x14ac:dyDescent="0.2">
      <c r="A41" s="46" t="s">
        <v>23</v>
      </c>
      <c r="C41" s="46"/>
    </row>
    <row r="42" spans="1:3" x14ac:dyDescent="0.2">
      <c r="A42" s="46" t="s">
        <v>118</v>
      </c>
      <c r="C42" s="46"/>
    </row>
    <row r="43" spans="1:3" x14ac:dyDescent="0.2">
      <c r="A43" s="46" t="s">
        <v>119</v>
      </c>
      <c r="C43" s="46"/>
    </row>
    <row r="44" spans="1:3" x14ac:dyDescent="0.2">
      <c r="A44" s="46" t="s">
        <v>20</v>
      </c>
      <c r="C44" s="46"/>
    </row>
    <row r="45" spans="1:3" x14ac:dyDescent="0.2">
      <c r="A45" s="46" t="s">
        <v>120</v>
      </c>
      <c r="C45" s="46"/>
    </row>
    <row r="46" spans="1:3" x14ac:dyDescent="0.2">
      <c r="A46" s="46" t="s">
        <v>121</v>
      </c>
      <c r="C46" s="46"/>
    </row>
    <row r="47" spans="1:3" x14ac:dyDescent="0.2">
      <c r="A47" s="46" t="s">
        <v>15</v>
      </c>
      <c r="C47" s="46"/>
    </row>
    <row r="48" spans="1:3" x14ac:dyDescent="0.2">
      <c r="A48" s="46" t="s">
        <v>17</v>
      </c>
      <c r="C48" s="46"/>
    </row>
    <row r="49" spans="1:3" x14ac:dyDescent="0.2">
      <c r="A49" s="46" t="s">
        <v>122</v>
      </c>
      <c r="C49" s="46"/>
    </row>
    <row r="50" spans="1:3" x14ac:dyDescent="0.2">
      <c r="A50" s="46" t="s">
        <v>123</v>
      </c>
      <c r="C50" s="46"/>
    </row>
    <row r="51" spans="1:3" x14ac:dyDescent="0.2">
      <c r="A51" s="46" t="s">
        <v>124</v>
      </c>
      <c r="C51" s="46"/>
    </row>
    <row r="52" spans="1:3" x14ac:dyDescent="0.2">
      <c r="A52" s="46" t="s">
        <v>21</v>
      </c>
      <c r="C52" s="46"/>
    </row>
    <row r="53" spans="1:3" x14ac:dyDescent="0.2">
      <c r="A53" s="46" t="s">
        <v>125</v>
      </c>
      <c r="C53" s="46"/>
    </row>
    <row r="54" spans="1:3" x14ac:dyDescent="0.2">
      <c r="A54" s="46" t="s">
        <v>126</v>
      </c>
      <c r="C54" s="46"/>
    </row>
    <row r="55" spans="1:3" x14ac:dyDescent="0.2">
      <c r="A55" s="46" t="s">
        <v>127</v>
      </c>
      <c r="C55" s="46"/>
    </row>
    <row r="56" spans="1:3" x14ac:dyDescent="0.2">
      <c r="A56" s="46" t="s">
        <v>128</v>
      </c>
      <c r="C56" s="46"/>
    </row>
    <row r="57" spans="1:3" x14ac:dyDescent="0.2">
      <c r="A57" s="46" t="s">
        <v>129</v>
      </c>
      <c r="C57" s="46"/>
    </row>
    <row r="58" spans="1:3" x14ac:dyDescent="0.2">
      <c r="A58" s="46" t="s">
        <v>130</v>
      </c>
      <c r="C58" s="46"/>
    </row>
    <row r="59" spans="1:3" x14ac:dyDescent="0.2">
      <c r="A59" s="46" t="s">
        <v>131</v>
      </c>
      <c r="C59" s="46"/>
    </row>
    <row r="60" spans="1:3" x14ac:dyDescent="0.2">
      <c r="A60" s="46" t="s">
        <v>132</v>
      </c>
      <c r="C60" s="46"/>
    </row>
    <row r="61" spans="1:3" x14ac:dyDescent="0.2">
      <c r="A61" s="46" t="s">
        <v>133</v>
      </c>
      <c r="C61" s="46"/>
    </row>
    <row r="62" spans="1:3" x14ac:dyDescent="0.2">
      <c r="A62" s="46" t="s">
        <v>25</v>
      </c>
      <c r="C62" s="46"/>
    </row>
    <row r="63" spans="1:3" x14ac:dyDescent="0.2">
      <c r="A63" s="46" t="s">
        <v>26</v>
      </c>
      <c r="C63" s="46"/>
    </row>
    <row r="64" spans="1:3" x14ac:dyDescent="0.2">
      <c r="A64" s="46" t="s">
        <v>134</v>
      </c>
      <c r="C64" s="46"/>
    </row>
    <row r="65" spans="1:3" x14ac:dyDescent="0.2">
      <c r="A65" s="46" t="s">
        <v>135</v>
      </c>
      <c r="C65" s="46"/>
    </row>
    <row r="66" spans="1:3" x14ac:dyDescent="0.2">
      <c r="A66" s="46" t="s">
        <v>136</v>
      </c>
      <c r="C66" s="46"/>
    </row>
    <row r="67" spans="1:3" x14ac:dyDescent="0.2">
      <c r="A67" s="46" t="s">
        <v>137</v>
      </c>
      <c r="C67" s="46"/>
    </row>
    <row r="68" spans="1:3" x14ac:dyDescent="0.2">
      <c r="A68" s="46" t="s">
        <v>138</v>
      </c>
      <c r="C68" s="46"/>
    </row>
    <row r="69" spans="1:3" x14ac:dyDescent="0.2">
      <c r="A69" s="46" t="s">
        <v>139</v>
      </c>
      <c r="C69" s="46"/>
    </row>
    <row r="70" spans="1:3" x14ac:dyDescent="0.2">
      <c r="A70" s="46" t="s">
        <v>140</v>
      </c>
      <c r="C70" s="46"/>
    </row>
    <row r="71" spans="1:3" x14ac:dyDescent="0.2">
      <c r="A71" s="46" t="s">
        <v>141</v>
      </c>
      <c r="C71" s="46"/>
    </row>
    <row r="72" spans="1:3" x14ac:dyDescent="0.2">
      <c r="A72" s="46" t="s">
        <v>142</v>
      </c>
      <c r="C72" s="46"/>
    </row>
    <row r="73" spans="1:3" x14ac:dyDescent="0.2">
      <c r="A73" s="46" t="s">
        <v>143</v>
      </c>
      <c r="C73" s="46"/>
    </row>
    <row r="74" spans="1:3" x14ac:dyDescent="0.2">
      <c r="A74" s="46" t="s">
        <v>144</v>
      </c>
      <c r="C74" s="46"/>
    </row>
    <row r="75" spans="1:3" x14ac:dyDescent="0.2">
      <c r="A75" s="46" t="s">
        <v>145</v>
      </c>
      <c r="C75" s="46"/>
    </row>
    <row r="76" spans="1:3" x14ac:dyDescent="0.2">
      <c r="A76" s="46" t="s">
        <v>146</v>
      </c>
      <c r="C76" s="46"/>
    </row>
    <row r="77" spans="1:3" x14ac:dyDescent="0.2">
      <c r="A77" s="46" t="s">
        <v>147</v>
      </c>
      <c r="C77" s="46"/>
    </row>
    <row r="78" spans="1:3" x14ac:dyDescent="0.2">
      <c r="A78" s="46" t="s">
        <v>65</v>
      </c>
      <c r="C78" s="46"/>
    </row>
    <row r="79" spans="1:3" x14ac:dyDescent="0.2">
      <c r="A79" s="46" t="s">
        <v>148</v>
      </c>
      <c r="C79" s="46"/>
    </row>
    <row r="80" spans="1:3" x14ac:dyDescent="0.2">
      <c r="A80" s="46" t="s">
        <v>149</v>
      </c>
      <c r="C80" s="46"/>
    </row>
    <row r="81" spans="1:3" x14ac:dyDescent="0.2">
      <c r="A81" s="46" t="s">
        <v>150</v>
      </c>
      <c r="C81" s="46"/>
    </row>
    <row r="82" spans="1:3" x14ac:dyDescent="0.2">
      <c r="A82" s="46" t="s">
        <v>151</v>
      </c>
      <c r="C82" s="46"/>
    </row>
    <row r="83" spans="1:3" x14ac:dyDescent="0.2">
      <c r="A83" s="46" t="s">
        <v>152</v>
      </c>
      <c r="C83" s="46"/>
    </row>
    <row r="84" spans="1:3" x14ac:dyDescent="0.2">
      <c r="A84" s="46" t="s">
        <v>153</v>
      </c>
      <c r="C84" s="46"/>
    </row>
    <row r="85" spans="1:3" x14ac:dyDescent="0.2">
      <c r="A85" s="46" t="s">
        <v>154</v>
      </c>
      <c r="C85" s="46"/>
    </row>
    <row r="86" spans="1:3" x14ac:dyDescent="0.2">
      <c r="A86" s="46" t="s">
        <v>155</v>
      </c>
      <c r="C86" s="46"/>
    </row>
    <row r="87" spans="1:3" x14ac:dyDescent="0.2">
      <c r="A87" s="46" t="s">
        <v>156</v>
      </c>
      <c r="C87" s="46"/>
    </row>
    <row r="88" spans="1:3" x14ac:dyDescent="0.2">
      <c r="A88" s="46" t="s">
        <v>157</v>
      </c>
      <c r="C88" s="46"/>
    </row>
    <row r="89" spans="1:3" x14ac:dyDescent="0.2">
      <c r="A89" s="46" t="s">
        <v>158</v>
      </c>
      <c r="C89" s="46"/>
    </row>
    <row r="90" spans="1:3" x14ac:dyDescent="0.2">
      <c r="A90" s="46" t="s">
        <v>159</v>
      </c>
      <c r="C90" s="46"/>
    </row>
    <row r="91" spans="1:3" x14ac:dyDescent="0.2">
      <c r="A91" s="46" t="s">
        <v>160</v>
      </c>
      <c r="C91" s="46"/>
    </row>
    <row r="92" spans="1:3" x14ac:dyDescent="0.2">
      <c r="A92" s="46" t="s">
        <v>161</v>
      </c>
      <c r="C92" s="46"/>
    </row>
    <row r="93" spans="1:3" x14ac:dyDescent="0.2">
      <c r="A93" s="46" t="s">
        <v>162</v>
      </c>
      <c r="C93" s="46"/>
    </row>
    <row r="94" spans="1:3" x14ac:dyDescent="0.2">
      <c r="A94" s="46" t="s">
        <v>163</v>
      </c>
      <c r="C94" s="46"/>
    </row>
    <row r="95" spans="1:3" x14ac:dyDescent="0.2">
      <c r="A95" s="46" t="s">
        <v>164</v>
      </c>
      <c r="C95" s="46"/>
    </row>
    <row r="96" spans="1:3" x14ac:dyDescent="0.2">
      <c r="A96" s="46" t="s">
        <v>165</v>
      </c>
      <c r="C96" s="46"/>
    </row>
    <row r="97" spans="1:3" x14ac:dyDescent="0.2">
      <c r="A97" s="46" t="s">
        <v>166</v>
      </c>
      <c r="C97" s="46"/>
    </row>
    <row r="98" spans="1:3" x14ac:dyDescent="0.2">
      <c r="A98" s="46" t="s">
        <v>167</v>
      </c>
      <c r="C98" s="46"/>
    </row>
    <row r="99" spans="1:3" x14ac:dyDescent="0.2">
      <c r="A99" s="46" t="s">
        <v>168</v>
      </c>
      <c r="C99" s="46"/>
    </row>
    <row r="100" spans="1:3" x14ac:dyDescent="0.2">
      <c r="A100" s="46" t="s">
        <v>169</v>
      </c>
      <c r="C100" s="46"/>
    </row>
    <row r="101" spans="1:3" x14ac:dyDescent="0.2">
      <c r="A101" s="46" t="s">
        <v>170</v>
      </c>
      <c r="C101" s="46"/>
    </row>
    <row r="102" spans="1:3" x14ac:dyDescent="0.2">
      <c r="A102" s="46" t="s">
        <v>171</v>
      </c>
      <c r="C102" s="46"/>
    </row>
    <row r="103" spans="1:3" x14ac:dyDescent="0.2">
      <c r="A103" s="46" t="s">
        <v>172</v>
      </c>
      <c r="C103" s="46"/>
    </row>
    <row r="104" spans="1:3" x14ac:dyDescent="0.2">
      <c r="A104" s="46" t="s">
        <v>173</v>
      </c>
      <c r="C104" s="46"/>
    </row>
    <row r="105" spans="1:3" x14ac:dyDescent="0.2">
      <c r="A105" s="46" t="s">
        <v>174</v>
      </c>
      <c r="C105" s="46"/>
    </row>
    <row r="106" spans="1:3" x14ac:dyDescent="0.2">
      <c r="A106" s="46" t="s">
        <v>175</v>
      </c>
      <c r="C106" s="46"/>
    </row>
    <row r="107" spans="1:3" x14ac:dyDescent="0.2">
      <c r="A107" s="46" t="s">
        <v>176</v>
      </c>
      <c r="C107" s="46"/>
    </row>
    <row r="108" spans="1:3" x14ac:dyDescent="0.2">
      <c r="A108" s="46" t="s">
        <v>177</v>
      </c>
      <c r="C108" s="46"/>
    </row>
    <row r="109" spans="1:3" x14ac:dyDescent="0.2">
      <c r="A109" s="46" t="s">
        <v>37</v>
      </c>
      <c r="C109" s="46"/>
    </row>
    <row r="110" spans="1:3" x14ac:dyDescent="0.2">
      <c r="A110" s="46" t="s">
        <v>178</v>
      </c>
      <c r="C110" s="46"/>
    </row>
    <row r="111" spans="1:3" x14ac:dyDescent="0.2">
      <c r="A111" s="46" t="s">
        <v>179</v>
      </c>
      <c r="C111" s="46"/>
    </row>
    <row r="112" spans="1:3" x14ac:dyDescent="0.2">
      <c r="A112" s="46" t="s">
        <v>180</v>
      </c>
      <c r="C112" s="46"/>
    </row>
    <row r="113" spans="1:3" x14ac:dyDescent="0.2">
      <c r="A113" s="46" t="s">
        <v>181</v>
      </c>
      <c r="C113" s="46"/>
    </row>
    <row r="114" spans="1:3" x14ac:dyDescent="0.2">
      <c r="A114" s="46" t="s">
        <v>182</v>
      </c>
      <c r="C114" s="46"/>
    </row>
    <row r="115" spans="1:3" x14ac:dyDescent="0.2">
      <c r="A115" s="46" t="s">
        <v>183</v>
      </c>
      <c r="C115" s="46"/>
    </row>
    <row r="116" spans="1:3" x14ac:dyDescent="0.2">
      <c r="A116" s="46" t="s">
        <v>184</v>
      </c>
      <c r="C116" s="46"/>
    </row>
    <row r="117" spans="1:3" x14ac:dyDescent="0.2">
      <c r="A117" s="46" t="s">
        <v>185</v>
      </c>
      <c r="C117" s="46"/>
    </row>
    <row r="118" spans="1:3" x14ac:dyDescent="0.2">
      <c r="A118" s="46" t="s">
        <v>186</v>
      </c>
      <c r="C118" s="46"/>
    </row>
    <row r="119" spans="1:3" x14ac:dyDescent="0.2">
      <c r="A119" s="46" t="s">
        <v>187</v>
      </c>
      <c r="C119" s="46"/>
    </row>
    <row r="120" spans="1:3" x14ac:dyDescent="0.2">
      <c r="A120" s="46" t="s">
        <v>188</v>
      </c>
      <c r="C120" s="46"/>
    </row>
    <row r="121" spans="1:3" x14ac:dyDescent="0.2">
      <c r="A121" s="46" t="s">
        <v>189</v>
      </c>
      <c r="C121" s="46"/>
    </row>
    <row r="122" spans="1:3" x14ac:dyDescent="0.2">
      <c r="A122" s="46" t="s">
        <v>190</v>
      </c>
      <c r="C122" s="46"/>
    </row>
    <row r="123" spans="1:3" x14ac:dyDescent="0.2">
      <c r="A123" s="46" t="s">
        <v>191</v>
      </c>
      <c r="C123" s="46"/>
    </row>
    <row r="124" spans="1:3" x14ac:dyDescent="0.2">
      <c r="A124" s="46" t="s">
        <v>192</v>
      </c>
      <c r="C124" s="46"/>
    </row>
    <row r="125" spans="1:3" x14ac:dyDescent="0.2">
      <c r="A125" s="46"/>
      <c r="C125" s="46"/>
    </row>
    <row r="126" spans="1:3" x14ac:dyDescent="0.2">
      <c r="A126" s="46"/>
      <c r="C126" s="46"/>
    </row>
    <row r="127" spans="1:3" x14ac:dyDescent="0.2">
      <c r="A127" s="46"/>
      <c r="C127" s="46"/>
    </row>
    <row r="128" spans="1:3" x14ac:dyDescent="0.2">
      <c r="A128" s="46"/>
      <c r="C128" s="46"/>
    </row>
    <row r="129" spans="1:3" x14ac:dyDescent="0.2">
      <c r="A129" s="46"/>
      <c r="C129" s="46"/>
    </row>
    <row r="130" spans="1:3" x14ac:dyDescent="0.2">
      <c r="A130" s="46"/>
      <c r="C130" s="46"/>
    </row>
    <row r="131" spans="1:3" x14ac:dyDescent="0.2">
      <c r="A131" s="46"/>
      <c r="C131" s="46"/>
    </row>
    <row r="132" spans="1:3" x14ac:dyDescent="0.2">
      <c r="A132" s="46"/>
      <c r="C132" s="46"/>
    </row>
    <row r="133" spans="1:3" x14ac:dyDescent="0.2">
      <c r="A133" s="46"/>
      <c r="C133" s="46"/>
    </row>
    <row r="134" spans="1:3" x14ac:dyDescent="0.2">
      <c r="A134" s="46"/>
      <c r="C134" s="46"/>
    </row>
    <row r="135" spans="1:3" x14ac:dyDescent="0.2">
      <c r="A135" s="46"/>
      <c r="C135" s="46"/>
    </row>
  </sheetData>
  <pageMargins left="0.7" right="0.7" top="0.75" bottom="0.75" header="0.51180555555555496" footer="0.51180555555555496"/>
  <pageSetup firstPageNumber="0" orientation="portrait" horizontalDpi="300" verticalDpi="300"/>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55"/>
  <sheetViews>
    <sheetView showGridLines="0" topLeftCell="A13" zoomScaleNormal="100" workbookViewId="0">
      <selection activeCell="A13" sqref="A13"/>
    </sheetView>
  </sheetViews>
  <sheetFormatPr defaultRowHeight="14.25" x14ac:dyDescent="0.2"/>
  <cols>
    <col min="1" max="1" width="9" customWidth="1"/>
    <col min="2" max="2" width="74.5" customWidth="1"/>
    <col min="3" max="3" width="3.75" customWidth="1"/>
    <col min="4" max="1025" width="8.625" customWidth="1"/>
  </cols>
  <sheetData>
    <row r="1" spans="1:4" s="45" customFormat="1" ht="26.1" customHeight="1" x14ac:dyDescent="0.2">
      <c r="A1" s="51" t="s">
        <v>193</v>
      </c>
      <c r="B1" s="51"/>
      <c r="C1" s="52"/>
      <c r="D1" s="52"/>
    </row>
    <row r="2" spans="1:4" x14ac:dyDescent="0.2">
      <c r="A2" s="53" t="s">
        <v>194</v>
      </c>
      <c r="B2" s="54"/>
      <c r="C2" s="55"/>
      <c r="D2" s="56" t="s">
        <v>195</v>
      </c>
    </row>
    <row r="3" spans="1:4" x14ac:dyDescent="0.2">
      <c r="A3" s="54"/>
      <c r="B3" s="54"/>
      <c r="C3" s="55"/>
    </row>
    <row r="4" spans="1:4" ht="15" x14ac:dyDescent="0.25">
      <c r="A4" s="57" t="s">
        <v>196</v>
      </c>
    </row>
    <row r="5" spans="1:4" x14ac:dyDescent="0.2">
      <c r="B5" t="s">
        <v>197</v>
      </c>
    </row>
    <row r="6" spans="1:4" x14ac:dyDescent="0.2">
      <c r="B6" t="s">
        <v>198</v>
      </c>
    </row>
    <row r="7" spans="1:4" x14ac:dyDescent="0.2">
      <c r="B7" t="s">
        <v>199</v>
      </c>
    </row>
    <row r="9" spans="1:4" ht="42.75" x14ac:dyDescent="0.2">
      <c r="B9" s="58" t="s">
        <v>200</v>
      </c>
    </row>
    <row r="11" spans="1:4" x14ac:dyDescent="0.2">
      <c r="B11" s="58" t="s">
        <v>201</v>
      </c>
    </row>
    <row r="13" spans="1:4" ht="15" x14ac:dyDescent="0.25">
      <c r="A13" s="57" t="s">
        <v>202</v>
      </c>
    </row>
    <row r="14" spans="1:4" ht="28.5" x14ac:dyDescent="0.2">
      <c r="B14" s="58" t="s">
        <v>203</v>
      </c>
    </row>
    <row r="16" spans="1:4" ht="28.5" x14ac:dyDescent="0.2">
      <c r="B16" s="58" t="s">
        <v>204</v>
      </c>
    </row>
    <row r="18" spans="1:3" ht="15" x14ac:dyDescent="0.25">
      <c r="A18" s="57" t="s">
        <v>205</v>
      </c>
      <c r="B18" s="57"/>
      <c r="C18" s="57"/>
    </row>
    <row r="19" spans="1:3" ht="42.75" x14ac:dyDescent="0.2">
      <c r="B19" s="58" t="s">
        <v>206</v>
      </c>
    </row>
    <row r="21" spans="1:3" ht="15" x14ac:dyDescent="0.25">
      <c r="A21" s="57" t="s">
        <v>207</v>
      </c>
      <c r="B21" s="57"/>
      <c r="C21" s="57"/>
    </row>
    <row r="22" spans="1:3" x14ac:dyDescent="0.2">
      <c r="B22" s="59" t="s">
        <v>208</v>
      </c>
    </row>
    <row r="23" spans="1:3" x14ac:dyDescent="0.2">
      <c r="B23" t="s">
        <v>209</v>
      </c>
    </row>
    <row r="24" spans="1:3" x14ac:dyDescent="0.2">
      <c r="B24" t="s">
        <v>210</v>
      </c>
    </row>
    <row r="25" spans="1:3" x14ac:dyDescent="0.2">
      <c r="B25" t="s">
        <v>211</v>
      </c>
    </row>
    <row r="26" spans="1:3" x14ac:dyDescent="0.2">
      <c r="B26" t="s">
        <v>212</v>
      </c>
    </row>
    <row r="27" spans="1:3" x14ac:dyDescent="0.2">
      <c r="B27" t="s">
        <v>213</v>
      </c>
    </row>
    <row r="29" spans="1:3" ht="42.75" x14ac:dyDescent="0.2">
      <c r="B29" s="58" t="s">
        <v>214</v>
      </c>
    </row>
    <row r="31" spans="1:3" ht="15" x14ac:dyDescent="0.25">
      <c r="A31" s="57" t="s">
        <v>215</v>
      </c>
      <c r="B31" s="57"/>
      <c r="C31" s="57"/>
    </row>
    <row r="32" spans="1:3" ht="28.5" x14ac:dyDescent="0.2">
      <c r="B32" s="58" t="s">
        <v>216</v>
      </c>
    </row>
    <row r="33" spans="1:2" x14ac:dyDescent="0.2">
      <c r="A33" s="55" t="s">
        <v>217</v>
      </c>
    </row>
    <row r="34" spans="1:2" ht="15" x14ac:dyDescent="0.25">
      <c r="A34" s="57" t="s">
        <v>218</v>
      </c>
    </row>
    <row r="35" spans="1:2" ht="28.5" x14ac:dyDescent="0.2">
      <c r="B35" s="58" t="s">
        <v>219</v>
      </c>
    </row>
    <row r="37" spans="1:2" ht="15" x14ac:dyDescent="0.25">
      <c r="A37" s="57" t="s">
        <v>220</v>
      </c>
    </row>
    <row r="38" spans="1:2" ht="28.5" x14ac:dyDescent="0.2">
      <c r="B38" s="58" t="s">
        <v>221</v>
      </c>
    </row>
    <row r="40" spans="1:2" ht="15" x14ac:dyDescent="0.25">
      <c r="A40" s="57" t="s">
        <v>222</v>
      </c>
    </row>
    <row r="41" spans="1:2" x14ac:dyDescent="0.2">
      <c r="B41" t="s">
        <v>223</v>
      </c>
    </row>
    <row r="44" spans="1:2" ht="15" x14ac:dyDescent="0.25">
      <c r="A44" s="57" t="s">
        <v>224</v>
      </c>
      <c r="B44" s="60"/>
    </row>
    <row r="45" spans="1:2" ht="28.5" x14ac:dyDescent="0.2">
      <c r="B45" s="60" t="s">
        <v>225</v>
      </c>
    </row>
    <row r="46" spans="1:2" x14ac:dyDescent="0.2">
      <c r="B46" s="60"/>
    </row>
    <row r="47" spans="1:2" ht="15.75" x14ac:dyDescent="0.25">
      <c r="A47" s="61"/>
      <c r="B47" s="62" t="s">
        <v>226</v>
      </c>
    </row>
    <row r="49" spans="1:2" s="65" customFormat="1" ht="15" x14ac:dyDescent="0.25">
      <c r="A49" s="63" t="s">
        <v>227</v>
      </c>
      <c r="B49" s="64" t="s">
        <v>228</v>
      </c>
    </row>
    <row r="50" spans="1:2" s="65" customFormat="1" ht="15" x14ac:dyDescent="0.25">
      <c r="A50" s="66"/>
      <c r="B50"/>
    </row>
    <row r="51" spans="1:2" ht="15" x14ac:dyDescent="0.25">
      <c r="A51" s="63" t="s">
        <v>229</v>
      </c>
      <c r="B51" s="64" t="s">
        <v>230</v>
      </c>
    </row>
    <row r="53" spans="1:2" ht="15" x14ac:dyDescent="0.25">
      <c r="A53" s="63" t="s">
        <v>231</v>
      </c>
      <c r="B53" s="64" t="s">
        <v>232</v>
      </c>
    </row>
    <row r="55" spans="1:2" ht="15" x14ac:dyDescent="0.25">
      <c r="A55" s="63" t="s">
        <v>231</v>
      </c>
      <c r="B55" s="64" t="s">
        <v>233</v>
      </c>
    </row>
  </sheetData>
  <hyperlinks>
    <hyperlink ref="A2" r:id="rId1" xr:uid="{00000000-0004-0000-0200-000000000000}"/>
    <hyperlink ref="B49" r:id="rId2" xr:uid="{00000000-0004-0000-0200-000001000000}"/>
    <hyperlink ref="B51" r:id="rId3" xr:uid="{00000000-0004-0000-0200-000002000000}"/>
    <hyperlink ref="B53" r:id="rId4" xr:uid="{00000000-0004-0000-0200-000003000000}"/>
    <hyperlink ref="B55" r:id="rId5" xr:uid="{00000000-0004-0000-0200-000004000000}"/>
  </hyperlinks>
  <printOptions horizontalCentered="1"/>
  <pageMargins left="0.5" right="0.5" top="0.5" bottom="0.5" header="0.51180555555555496" footer="0.51180555555555496"/>
  <pageSetup firstPageNumber="0" fitToHeight="0" orientation="portrait" horizontalDpi="300" verticalDpi="300"/>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69256-6650-4831-967F-4B23AB5860F4}">
  <dimension ref="A1:F6"/>
  <sheetViews>
    <sheetView workbookViewId="0">
      <selection activeCell="B7" sqref="B7"/>
    </sheetView>
  </sheetViews>
  <sheetFormatPr defaultRowHeight="14.25" x14ac:dyDescent="0.2"/>
  <sheetData>
    <row r="1" spans="1:6" x14ac:dyDescent="0.2">
      <c r="A1" s="74">
        <v>44392</v>
      </c>
      <c r="B1">
        <v>500</v>
      </c>
    </row>
    <row r="2" spans="1:6" x14ac:dyDescent="0.2">
      <c r="A2" s="74">
        <v>44421</v>
      </c>
      <c r="B2">
        <v>500</v>
      </c>
    </row>
    <row r="3" spans="1:6" x14ac:dyDescent="0.2">
      <c r="A3" s="74">
        <v>44454</v>
      </c>
      <c r="B3">
        <v>500</v>
      </c>
    </row>
    <row r="4" spans="1:6" x14ac:dyDescent="0.2">
      <c r="A4" s="74">
        <v>44484</v>
      </c>
      <c r="B4">
        <v>500</v>
      </c>
    </row>
    <row r="5" spans="1:6" x14ac:dyDescent="0.2">
      <c r="A5" s="74">
        <v>44515</v>
      </c>
      <c r="B5">
        <v>500</v>
      </c>
    </row>
    <row r="6" spans="1:6" x14ac:dyDescent="0.2">
      <c r="A6" s="74">
        <v>44545</v>
      </c>
      <c r="B6">
        <v>500</v>
      </c>
      <c r="E6" t="s">
        <v>243</v>
      </c>
      <c r="F6">
        <f>SUM(B1:B22)</f>
        <v>3000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6"/>
  <sheetViews>
    <sheetView showGridLines="0" zoomScaleNormal="100" workbookViewId="0">
      <selection activeCell="B25" sqref="B25"/>
    </sheetView>
  </sheetViews>
  <sheetFormatPr defaultRowHeight="14.25" x14ac:dyDescent="0.2"/>
  <cols>
    <col min="1" max="1" width="66.5" style="1" customWidth="1"/>
    <col min="2" max="1025" width="8.625" customWidth="1"/>
  </cols>
  <sheetData>
    <row r="1" spans="1:1" ht="26.1" customHeight="1" x14ac:dyDescent="0.2">
      <c r="A1" s="67" t="s">
        <v>0</v>
      </c>
    </row>
    <row r="2" spans="1:1" ht="15" x14ac:dyDescent="0.2">
      <c r="A2" s="68" t="s">
        <v>234</v>
      </c>
    </row>
    <row r="3" spans="1:1" x14ac:dyDescent="0.2">
      <c r="A3" s="69" t="s">
        <v>194</v>
      </c>
    </row>
    <row r="4" spans="1:1" ht="15" x14ac:dyDescent="0.2">
      <c r="A4" s="68"/>
    </row>
    <row r="5" spans="1:1" ht="15.75" x14ac:dyDescent="0.25">
      <c r="A5" s="70" t="s">
        <v>195</v>
      </c>
    </row>
    <row r="6" spans="1:1" ht="15" x14ac:dyDescent="0.2">
      <c r="A6" s="68"/>
    </row>
    <row r="7" spans="1:1" ht="45" x14ac:dyDescent="0.2">
      <c r="A7" s="68" t="s">
        <v>235</v>
      </c>
    </row>
    <row r="8" spans="1:1" ht="15" x14ac:dyDescent="0.2">
      <c r="A8" s="68"/>
    </row>
    <row r="9" spans="1:1" ht="30" x14ac:dyDescent="0.2">
      <c r="A9" s="68" t="s">
        <v>236</v>
      </c>
    </row>
    <row r="10" spans="1:1" ht="15" x14ac:dyDescent="0.2">
      <c r="A10" s="68"/>
    </row>
    <row r="11" spans="1:1" ht="30" x14ac:dyDescent="0.2">
      <c r="A11" s="68" t="s">
        <v>237</v>
      </c>
    </row>
    <row r="12" spans="1:1" ht="15" x14ac:dyDescent="0.2">
      <c r="A12" s="68"/>
    </row>
    <row r="13" spans="1:1" ht="15" x14ac:dyDescent="0.2">
      <c r="A13" s="71" t="s">
        <v>238</v>
      </c>
    </row>
    <row r="14" spans="1:1" ht="15" x14ac:dyDescent="0.2">
      <c r="A14" s="68" t="s">
        <v>239</v>
      </c>
    </row>
    <row r="15" spans="1:1" ht="15" x14ac:dyDescent="0.2">
      <c r="A15" s="72"/>
    </row>
    <row r="16" spans="1:1" ht="29.25" x14ac:dyDescent="0.2">
      <c r="A16" s="73" t="s">
        <v>240</v>
      </c>
    </row>
  </sheetData>
  <hyperlinks>
    <hyperlink ref="A3" r:id="rId1" xr:uid="{00000000-0004-0000-0300-000000000000}"/>
    <hyperlink ref="A13" r:id="rId2" xr:uid="{00000000-0004-0000-0300-000001000000}"/>
  </hyperlinks>
  <pageMargins left="0.7" right="0.7" top="0.75" bottom="0.75" header="0.51180555555555496" footer="0.51180555555555496"/>
  <pageSetup firstPageNumber="0" orientation="portrait" horizontalDpi="300" verticalDpi="300"/>
  <drawing r:id="rId3"/>
</worksheet>
</file>

<file path=docProps/app.xml><?xml version="1.0" encoding="utf-8"?>
<Properties xmlns="http://schemas.openxmlformats.org/officeDocument/2006/extended-properties" xmlns:vt="http://schemas.openxmlformats.org/officeDocument/2006/docPropsVTypes">
  <Template/>
  <TotalTime>43</TotalTime>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Register</vt:lpstr>
      <vt:lpstr>Settings</vt:lpstr>
      <vt:lpstr>Help</vt:lpstr>
      <vt:lpstr>Child Tax Credits</vt:lpstr>
      <vt:lpstr>©</vt:lpstr>
      <vt:lpstr>Register!_FilterDatabase</vt:lpstr>
      <vt:lpstr>Help!Print_Area</vt:lpstr>
      <vt:lpstr>Register!Print_Area</vt:lpstr>
      <vt:lpstr>Register!Print_Titles</vt:lpstr>
      <vt:lpstr>Register!Print_Titles_0</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Checkbook Register Template</dc:title>
  <dc:subject/>
  <dc:creator>Vertex42.com</dc:creator>
  <dc:description>(c) 2008-2014 Vertex42 LLC. All Rights Reserved.</dc:description>
  <cp:lastModifiedBy>Rachel Betz</cp:lastModifiedBy>
  <cp:revision>2</cp:revision>
  <cp:lastPrinted>2014-04-07T16:14:56Z</cp:lastPrinted>
  <dcterms:created xsi:type="dcterms:W3CDTF">2007-12-24T15:22:31Z</dcterms:created>
  <dcterms:modified xsi:type="dcterms:W3CDTF">2026-03-13T10:57:36Z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Company">
    <vt:lpwstr>Vertex42 LLC</vt:lpwstr>
  </property>
  <property fmtid="{D5CDD505-2E9C-101B-9397-08002B2CF9AE}" pid="4" name="Copyright">
    <vt:lpwstr>2008-2014 Vertex42 LLC</vt:lpwstr>
  </property>
  <property fmtid="{D5CDD505-2E9C-101B-9397-08002B2CF9AE}" pid="5" name="DocSecurity">
    <vt:i4>0</vt:i4>
  </property>
  <property fmtid="{D5CDD505-2E9C-101B-9397-08002B2CF9AE}" pid="6" name="HyperlinksChanged">
    <vt:bool>false</vt:bool>
  </property>
  <property fmtid="{D5CDD505-2E9C-101B-9397-08002B2CF9AE}" pid="7" name="LinksUpToDate">
    <vt:bool>false</vt:bool>
  </property>
  <property fmtid="{D5CDD505-2E9C-101B-9397-08002B2CF9AE}" pid="8" name="ScaleCrop">
    <vt:bool>false</vt:bool>
  </property>
  <property fmtid="{D5CDD505-2E9C-101B-9397-08002B2CF9AE}" pid="9" name="ShareDoc">
    <vt:bool>false</vt:bool>
  </property>
  <property fmtid="{D5CDD505-2E9C-101B-9397-08002B2CF9AE}" pid="10" name="Version">
    <vt:lpwstr>1.3.0</vt:lpwstr>
  </property>
</Properties>
</file>
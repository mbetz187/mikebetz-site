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che\Desktop\budget\"/>
    </mc:Choice>
  </mc:AlternateContent>
  <xr:revisionPtr revIDLastSave="0" documentId="13_ncr:1_{2A6B80FC-ADF5-4761-A72E-9A845CCF56D5}" xr6:coauthVersionLast="47" xr6:coauthVersionMax="47" xr10:uidLastSave="{00000000-0000-0000-0000-000000000000}"/>
  <bookViews>
    <workbookView xWindow="38280" yWindow="-120" windowWidth="38640" windowHeight="21240" tabRatio="500" firstSheet="136" activeTab="146" xr2:uid="{00000000-000D-0000-FFFF-FFFF00000000}"/>
  </bookViews>
  <sheets>
    <sheet name="2014-01" sheetId="1" state="hidden" r:id="rId1"/>
    <sheet name="2014-02" sheetId="2" state="hidden" r:id="rId2"/>
    <sheet name="2014-03" sheetId="3" state="hidden" r:id="rId3"/>
    <sheet name="2014-04" sheetId="4" state="hidden" r:id="rId4"/>
    <sheet name="2014-05" sheetId="5" state="hidden" r:id="rId5"/>
    <sheet name="2014-06" sheetId="6" state="hidden" r:id="rId6"/>
    <sheet name="2014-07" sheetId="7" state="hidden" r:id="rId7"/>
    <sheet name="2014-08" sheetId="8" state="hidden" r:id="rId8"/>
    <sheet name="2014-09" sheetId="9" state="hidden" r:id="rId9"/>
    <sheet name="2014-10" sheetId="10" state="hidden" r:id="rId10"/>
    <sheet name="2014-11" sheetId="11" state="hidden" r:id="rId11"/>
    <sheet name="2014-12" sheetId="12" state="hidden" r:id="rId12"/>
    <sheet name="2015-01" sheetId="13" state="hidden" r:id="rId13"/>
    <sheet name="2015-02" sheetId="14" state="hidden" r:id="rId14"/>
    <sheet name="2015-03" sheetId="15" state="hidden" r:id="rId15"/>
    <sheet name="2015-04" sheetId="16" state="hidden" r:id="rId16"/>
    <sheet name="2015-05" sheetId="17" state="hidden" r:id="rId17"/>
    <sheet name="2015-06" sheetId="18" state="hidden" r:id="rId18"/>
    <sheet name="2015-07" sheetId="19" state="hidden" r:id="rId19"/>
    <sheet name="2015-08" sheetId="20" state="hidden" r:id="rId20"/>
    <sheet name="2015-09" sheetId="21" state="hidden" r:id="rId21"/>
    <sheet name="2015-10" sheetId="22" state="hidden" r:id="rId22"/>
    <sheet name="2015-11" sheetId="23" state="hidden" r:id="rId23"/>
    <sheet name="2015-12" sheetId="24" state="hidden" r:id="rId24"/>
    <sheet name="2016-01" sheetId="25" state="hidden" r:id="rId25"/>
    <sheet name="2016-02" sheetId="26" state="hidden" r:id="rId26"/>
    <sheet name="2016-03" sheetId="27" state="hidden" r:id="rId27"/>
    <sheet name="2016-04" sheetId="28" state="hidden" r:id="rId28"/>
    <sheet name="2016-05" sheetId="29" state="hidden" r:id="rId29"/>
    <sheet name="2016-06" sheetId="30" state="hidden" r:id="rId30"/>
    <sheet name="2016-07" sheetId="31" state="hidden" r:id="rId31"/>
    <sheet name="2016-08" sheetId="32" state="hidden" r:id="rId32"/>
    <sheet name="2016-09" sheetId="33" state="hidden" r:id="rId33"/>
    <sheet name="2016-10" sheetId="34" state="hidden" r:id="rId34"/>
    <sheet name="2016-11" sheetId="35" state="hidden" r:id="rId35"/>
    <sheet name="2016-12" sheetId="36" state="hidden" r:id="rId36"/>
    <sheet name="2017-01" sheetId="37" state="hidden" r:id="rId37"/>
    <sheet name="2017-02" sheetId="38" state="hidden" r:id="rId38"/>
    <sheet name="2017-03" sheetId="39" state="hidden" r:id="rId39"/>
    <sheet name="2017-04" sheetId="40" state="hidden" r:id="rId40"/>
    <sheet name="2017-05" sheetId="41" state="hidden" r:id="rId41"/>
    <sheet name="2017-06" sheetId="42" state="hidden" r:id="rId42"/>
    <sheet name="2017-07" sheetId="43" state="hidden" r:id="rId43"/>
    <sheet name="2017-08" sheetId="44" state="hidden" r:id="rId44"/>
    <sheet name="2017-09" sheetId="45" state="hidden" r:id="rId45"/>
    <sheet name="2017-10" sheetId="46" state="hidden" r:id="rId46"/>
    <sheet name="2017-11" sheetId="47" state="hidden" r:id="rId47"/>
    <sheet name="2017-12" sheetId="48" state="hidden" r:id="rId48"/>
    <sheet name="2018-01" sheetId="49" state="hidden" r:id="rId49"/>
    <sheet name="2018-02" sheetId="50" state="hidden" r:id="rId50"/>
    <sheet name="2018-03" sheetId="51" state="hidden" r:id="rId51"/>
    <sheet name="2018-04" sheetId="52" state="hidden" r:id="rId52"/>
    <sheet name="2018-05" sheetId="53" state="hidden" r:id="rId53"/>
    <sheet name="2018-06" sheetId="54" state="hidden" r:id="rId54"/>
    <sheet name="2018-07" sheetId="55" state="hidden" r:id="rId55"/>
    <sheet name="2018-08" sheetId="56" state="hidden" r:id="rId56"/>
    <sheet name="2018-09" sheetId="57" state="hidden" r:id="rId57"/>
    <sheet name="2018-10" sheetId="58" state="hidden" r:id="rId58"/>
    <sheet name="2018-11" sheetId="59" state="hidden" r:id="rId59"/>
    <sheet name="2018-12" sheetId="60" state="hidden" r:id="rId60"/>
    <sheet name="2019-01" sheetId="61" state="hidden" r:id="rId61"/>
    <sheet name="2019-02" sheetId="62" state="hidden" r:id="rId62"/>
    <sheet name="2019-03" sheetId="63" state="hidden" r:id="rId63"/>
    <sheet name="2019-04" sheetId="64" state="hidden" r:id="rId64"/>
    <sheet name="2019-05" sheetId="65" state="hidden" r:id="rId65"/>
    <sheet name="2019-06" sheetId="66" state="hidden" r:id="rId66"/>
    <sheet name="2019-07" sheetId="67" state="hidden" r:id="rId67"/>
    <sheet name="2019-08" sheetId="68" state="hidden" r:id="rId68"/>
    <sheet name="2019-09" sheetId="69" state="hidden" r:id="rId69"/>
    <sheet name="2019-10" sheetId="70" state="hidden" r:id="rId70"/>
    <sheet name="2019-11" sheetId="71" state="hidden" r:id="rId71"/>
    <sheet name="2019-12" sheetId="72" state="hidden" r:id="rId72"/>
    <sheet name="2020-01" sheetId="73" state="hidden" r:id="rId73"/>
    <sheet name="2020-02" sheetId="74" state="hidden" r:id="rId74"/>
    <sheet name="2020-03" sheetId="75" state="hidden" r:id="rId75"/>
    <sheet name="2020-04" sheetId="76" state="hidden" r:id="rId76"/>
    <sheet name="2020-05" sheetId="77" state="hidden" r:id="rId77"/>
    <sheet name="2020-06" sheetId="78" state="hidden" r:id="rId78"/>
    <sheet name="2020-07" sheetId="79" state="hidden" r:id="rId79"/>
    <sheet name="2020-08" sheetId="80" state="hidden" r:id="rId80"/>
    <sheet name="2020-09" sheetId="81" state="hidden" r:id="rId81"/>
    <sheet name="2020-10" sheetId="82" state="hidden" r:id="rId82"/>
    <sheet name="2020-11" sheetId="83" state="hidden" r:id="rId83"/>
    <sheet name="2020-12" sheetId="84" state="hidden" r:id="rId84"/>
    <sheet name="2021-01" sheetId="85" state="hidden" r:id="rId85"/>
    <sheet name="2021-02" sheetId="86" state="hidden" r:id="rId86"/>
    <sheet name="2021-03" sheetId="87" state="hidden" r:id="rId87"/>
    <sheet name="2021-04" sheetId="88" state="hidden" r:id="rId88"/>
    <sheet name="2021-05" sheetId="89" state="hidden" r:id="rId89"/>
    <sheet name="2021-06" sheetId="90" state="hidden" r:id="rId90"/>
    <sheet name="2021-07" sheetId="91" state="hidden" r:id="rId91"/>
    <sheet name="2021-08" sheetId="92" state="hidden" r:id="rId92"/>
    <sheet name="2021-09" sheetId="93" state="hidden" r:id="rId93"/>
    <sheet name="2021-10" sheetId="94" state="hidden" r:id="rId94"/>
    <sheet name="2012-11" sheetId="95" state="hidden" r:id="rId95"/>
    <sheet name="2021-12" sheetId="96" state="hidden" r:id="rId96"/>
    <sheet name="2022-01" sheetId="97" state="hidden" r:id="rId97"/>
    <sheet name="2022-02" sheetId="98" state="hidden" r:id="rId98"/>
    <sheet name="2022-03" sheetId="99" state="hidden" r:id="rId99"/>
    <sheet name="2022-04" sheetId="100" state="hidden" r:id="rId100"/>
    <sheet name="2022-05" sheetId="101" state="hidden" r:id="rId101"/>
    <sheet name="2022-06" sheetId="102" state="hidden" r:id="rId102"/>
    <sheet name="2022-07" sheetId="103" state="hidden" r:id="rId103"/>
    <sheet name="2022-08" sheetId="104" state="hidden" r:id="rId104"/>
    <sheet name="2022-09" sheetId="105" state="hidden" r:id="rId105"/>
    <sheet name="2022-10" sheetId="106" state="hidden" r:id="rId106"/>
    <sheet name="2022-11" sheetId="107" state="hidden" r:id="rId107"/>
    <sheet name="2022-12" sheetId="108" state="hidden" r:id="rId108"/>
    <sheet name="2023-01" sheetId="109" state="hidden" r:id="rId109"/>
    <sheet name="2023-02" sheetId="110" state="hidden" r:id="rId110"/>
    <sheet name="2023-03" sheetId="111" state="hidden" r:id="rId111"/>
    <sheet name="2023-04" sheetId="112" state="hidden" r:id="rId112"/>
    <sheet name="2023-05" sheetId="113" state="hidden" r:id="rId113"/>
    <sheet name="2023-006" sheetId="115" state="hidden" r:id="rId114"/>
    <sheet name="2023-07" sheetId="116" state="hidden" r:id="rId115"/>
    <sheet name="2023-08" sheetId="117" state="hidden" r:id="rId116"/>
    <sheet name="2023-09" sheetId="118" state="hidden" r:id="rId117"/>
    <sheet name="2023-10" sheetId="119" state="hidden" r:id="rId118"/>
    <sheet name="2023-11" sheetId="120" state="hidden" r:id="rId119"/>
    <sheet name="2023-12" sheetId="121" state="hidden" r:id="rId120"/>
    <sheet name="2024-01" sheetId="122" state="hidden" r:id="rId121"/>
    <sheet name="2024-02" sheetId="123" state="hidden" r:id="rId122"/>
    <sheet name="2024-03" sheetId="124" state="hidden" r:id="rId123"/>
    <sheet name="2024-04" sheetId="125" state="hidden" r:id="rId124"/>
    <sheet name="2024-05" sheetId="126" state="hidden" r:id="rId125"/>
    <sheet name="2024-06" sheetId="127" state="hidden" r:id="rId126"/>
    <sheet name="2024-07" sheetId="128" state="hidden" r:id="rId127"/>
    <sheet name="2024-08" sheetId="129" state="hidden" r:id="rId128"/>
    <sheet name="2024-09" sheetId="130" state="hidden" r:id="rId129"/>
    <sheet name="2024-10" sheetId="131" state="hidden" r:id="rId130"/>
    <sheet name="2024-11" sheetId="132" state="hidden" r:id="rId131"/>
    <sheet name="2024-12" sheetId="133" state="hidden" r:id="rId132"/>
    <sheet name="2025-01" sheetId="134" state="hidden" r:id="rId133"/>
    <sheet name="2025-02" sheetId="135" state="hidden" r:id="rId134"/>
    <sheet name="2025-03" sheetId="136" state="hidden" r:id="rId135"/>
    <sheet name="2025-04" sheetId="137" state="hidden" r:id="rId136"/>
    <sheet name="2025-05" sheetId="138" r:id="rId137"/>
    <sheet name="2025-06" sheetId="139" r:id="rId138"/>
    <sheet name="2025-07" sheetId="140" r:id="rId139"/>
    <sheet name="2025-08" sheetId="141" r:id="rId140"/>
    <sheet name="2025-09" sheetId="142" r:id="rId141"/>
    <sheet name="2025-10" sheetId="143" r:id="rId142"/>
    <sheet name="2025-11" sheetId="144" r:id="rId143"/>
    <sheet name="2025-12" sheetId="145" r:id="rId144"/>
    <sheet name="2026-01" sheetId="146" r:id="rId145"/>
    <sheet name="2026-02" sheetId="147" r:id="rId146"/>
    <sheet name="2026-03" sheetId="148" r:id="rId147"/>
    <sheet name="2026-04" sheetId="149" r:id="rId148"/>
    <sheet name="2023-06" sheetId="114" state="hidden" r:id="rId149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" i="149" l="1"/>
  <c r="D31" i="149" s="1"/>
  <c r="C34" i="149" s="1"/>
  <c r="D27" i="148" l="1"/>
  <c r="D31" i="148" s="1"/>
  <c r="C34" i="148" s="1"/>
  <c r="Q9" i="147"/>
  <c r="Q6" i="147"/>
  <c r="P9" i="147"/>
  <c r="D27" i="147"/>
  <c r="D31" i="147" s="1"/>
  <c r="C34" i="147" s="1"/>
  <c r="D31" i="146"/>
  <c r="C34" i="146" s="1"/>
  <c r="D27" i="146"/>
  <c r="D27" i="145" l="1"/>
  <c r="D31" i="145" s="1"/>
  <c r="C34" i="145" s="1"/>
  <c r="D27" i="144" l="1"/>
  <c r="D31" i="144" s="1"/>
  <c r="C34" i="144" s="1"/>
  <c r="D27" i="143" l="1"/>
  <c r="D31" i="143" s="1"/>
  <c r="C34" i="143" s="1"/>
  <c r="D27" i="142"/>
  <c r="D31" i="142" s="1"/>
  <c r="C34" i="142" s="1"/>
  <c r="D27" i="141"/>
  <c r="D31" i="141" s="1"/>
  <c r="C34" i="141" s="1"/>
  <c r="D27" i="140" l="1"/>
  <c r="D31" i="140" s="1"/>
  <c r="C34" i="140" s="1"/>
  <c r="D28" i="139" l="1"/>
  <c r="D32" i="139" s="1"/>
  <c r="C35" i="139" s="1"/>
  <c r="D28" i="138" l="1"/>
  <c r="D32" i="138" s="1"/>
  <c r="C35" i="138" s="1"/>
  <c r="D28" i="137"/>
  <c r="D32" i="137" s="1"/>
  <c r="C35" i="137" s="1"/>
  <c r="D28" i="136"/>
  <c r="D32" i="136" s="1"/>
  <c r="C35" i="136" s="1"/>
  <c r="D28" i="135"/>
  <c r="D32" i="135" s="1"/>
  <c r="C35" i="135" s="1"/>
  <c r="D28" i="134"/>
  <c r="D32" i="134" s="1"/>
  <c r="C35" i="134" s="1"/>
  <c r="D28" i="133"/>
  <c r="D32" i="133" s="1"/>
  <c r="C35" i="133" s="1"/>
  <c r="D28" i="132" l="1"/>
  <c r="D32" i="132" s="1"/>
  <c r="C35" i="132" s="1"/>
  <c r="D28" i="131" l="1"/>
  <c r="D32" i="131" s="1"/>
  <c r="C35" i="131" s="1"/>
  <c r="D28" i="130" l="1"/>
  <c r="D32" i="130" s="1"/>
  <c r="C35" i="130" s="1"/>
  <c r="D28" i="129"/>
  <c r="D32" i="129" s="1"/>
  <c r="C35" i="129" s="1"/>
  <c r="D28" i="128"/>
  <c r="D32" i="128" s="1"/>
  <c r="C35" i="128" s="1"/>
  <c r="D28" i="127"/>
  <c r="D32" i="127" s="1"/>
  <c r="C35" i="127" s="1"/>
  <c r="D32" i="126" l="1"/>
  <c r="C35" i="126" s="1"/>
  <c r="D28" i="126"/>
  <c r="D32" i="125"/>
  <c r="C35" i="125" s="1"/>
  <c r="D28" i="125"/>
  <c r="D28" i="124"/>
  <c r="D32" i="124" s="1"/>
  <c r="C35" i="124" s="1"/>
  <c r="D28" i="123" l="1"/>
  <c r="D32" i="123" s="1"/>
  <c r="C35" i="123" s="1"/>
  <c r="D28" i="122" l="1"/>
  <c r="D32" i="122" s="1"/>
  <c r="C35" i="122" s="1"/>
  <c r="D28" i="121"/>
  <c r="D32" i="121" s="1"/>
  <c r="C35" i="121" s="1"/>
  <c r="D17" i="121"/>
  <c r="D17" i="120" l="1"/>
  <c r="D28" i="120" s="1"/>
  <c r="D32" i="120" s="1"/>
  <c r="C35" i="120" s="1"/>
  <c r="D16" i="119" l="1"/>
  <c r="D27" i="119" s="1"/>
  <c r="D31" i="119" s="1"/>
  <c r="C34" i="119" s="1"/>
  <c r="D16" i="118" l="1"/>
  <c r="D27" i="118" s="1"/>
  <c r="D31" i="118" s="1"/>
  <c r="C34" i="118" s="1"/>
  <c r="D16" i="117" l="1"/>
  <c r="D27" i="117" s="1"/>
  <c r="D31" i="117" s="1"/>
  <c r="C34" i="117" s="1"/>
  <c r="D27" i="116"/>
  <c r="D31" i="116" s="1"/>
  <c r="C34" i="116" s="1"/>
  <c r="D16" i="116"/>
  <c r="D16" i="115"/>
  <c r="D27" i="115" s="1"/>
  <c r="D31" i="115" s="1"/>
  <c r="C34" i="115" s="1"/>
  <c r="D17" i="114"/>
  <c r="D28" i="114" s="1"/>
  <c r="D32" i="114" s="1"/>
  <c r="C35" i="114" s="1"/>
  <c r="C42" i="114" s="1"/>
  <c r="D17" i="113"/>
  <c r="D28" i="113" s="1"/>
  <c r="D32" i="113" s="1"/>
  <c r="C35" i="113" s="1"/>
  <c r="D17" i="112" l="1"/>
  <c r="D28" i="112" s="1"/>
  <c r="D32" i="112" s="1"/>
  <c r="C35" i="112" s="1"/>
  <c r="C42" i="112" s="1"/>
  <c r="D17" i="111"/>
  <c r="D28" i="111" s="1"/>
  <c r="D32" i="111" s="1"/>
  <c r="C35" i="111" s="1"/>
  <c r="C42" i="111" s="1"/>
  <c r="D17" i="110" l="1"/>
  <c r="D28" i="110" s="1"/>
  <c r="D32" i="110" s="1"/>
  <c r="C35" i="110" s="1"/>
  <c r="C42" i="110" s="1"/>
  <c r="D17" i="109"/>
  <c r="D28" i="109" s="1"/>
  <c r="D32" i="109" s="1"/>
  <c r="D17" i="108" l="1"/>
  <c r="D28" i="108" s="1"/>
  <c r="D32" i="108" s="1"/>
  <c r="C35" i="108" s="1"/>
  <c r="C42" i="108" s="1"/>
  <c r="D17" i="107"/>
  <c r="D28" i="107" s="1"/>
  <c r="D32" i="107" s="1"/>
  <c r="C35" i="107" s="1"/>
  <c r="C42" i="107" s="1"/>
  <c r="D17" i="106" l="1"/>
  <c r="D28" i="106" s="1"/>
  <c r="D32" i="106" s="1"/>
  <c r="C35" i="106" s="1"/>
  <c r="C42" i="106" s="1"/>
  <c r="D17" i="105"/>
  <c r="D28" i="105" s="1"/>
  <c r="D32" i="105" s="1"/>
  <c r="C35" i="105" s="1"/>
  <c r="C42" i="105" s="1"/>
  <c r="D17" i="104" l="1"/>
  <c r="D28" i="104" s="1"/>
  <c r="D32" i="104" s="1"/>
  <c r="C35" i="104" s="1"/>
  <c r="C42" i="104" s="1"/>
  <c r="D17" i="103" l="1"/>
  <c r="D28" i="103" s="1"/>
  <c r="D32" i="103" s="1"/>
  <c r="C35" i="103" s="1"/>
  <c r="C42" i="103" s="1"/>
  <c r="D17" i="102"/>
  <c r="D28" i="102"/>
  <c r="D32" i="102" s="1"/>
  <c r="C35" i="102" s="1"/>
  <c r="C42" i="102" s="1"/>
  <c r="D29" i="101"/>
  <c r="D33" i="101" s="1"/>
  <c r="C36" i="101" s="1"/>
  <c r="C43" i="101" s="1"/>
  <c r="D21" i="101"/>
  <c r="D28" i="100"/>
  <c r="D32" i="100" s="1"/>
  <c r="C35" i="100" s="1"/>
  <c r="C42" i="100" s="1"/>
  <c r="D20" i="100"/>
  <c r="D28" i="99"/>
  <c r="D32" i="99" s="1"/>
  <c r="C35" i="99" s="1"/>
  <c r="C42" i="99" s="1"/>
  <c r="D20" i="99"/>
  <c r="D20" i="98" l="1"/>
  <c r="D28" i="98"/>
  <c r="D32" i="98" s="1"/>
  <c r="C35" i="98" s="1"/>
  <c r="C42" i="98" s="1"/>
  <c r="D29" i="97"/>
  <c r="D33" i="97" s="1"/>
  <c r="C36" i="97" s="1"/>
  <c r="C43" i="97" s="1"/>
  <c r="D21" i="97"/>
  <c r="D29" i="96" l="1"/>
  <c r="D33" i="96" s="1"/>
  <c r="C36" i="96" s="1"/>
  <c r="C43" i="96" s="1"/>
  <c r="D21" i="96"/>
  <c r="D29" i="95"/>
  <c r="D33" i="95" s="1"/>
  <c r="C36" i="95" s="1"/>
  <c r="C43" i="95" s="1"/>
  <c r="D21" i="95"/>
  <c r="D29" i="94" l="1"/>
  <c r="D33" i="94" s="1"/>
  <c r="C36" i="94" s="1"/>
  <c r="C43" i="94" s="1"/>
  <c r="D21" i="94"/>
  <c r="D29" i="93"/>
  <c r="D33" i="93" s="1"/>
  <c r="C36" i="93" s="1"/>
  <c r="C43" i="93" s="1"/>
  <c r="D21" i="93"/>
  <c r="D29" i="92"/>
  <c r="D33" i="92" s="1"/>
  <c r="C36" i="92" s="1"/>
  <c r="C43" i="92" s="1"/>
  <c r="D21" i="92"/>
  <c r="D29" i="91" l="1"/>
  <c r="D33" i="91" s="1"/>
  <c r="C36" i="91" s="1"/>
  <c r="C43" i="91" s="1"/>
  <c r="D21" i="91"/>
  <c r="D29" i="90" l="1"/>
  <c r="D33" i="90" s="1"/>
  <c r="C36" i="90" s="1"/>
  <c r="C43" i="90" s="1"/>
  <c r="D21" i="90"/>
  <c r="D29" i="89"/>
  <c r="D33" i="89" s="1"/>
  <c r="C36" i="89" s="1"/>
  <c r="C43" i="89" s="1"/>
  <c r="D21" i="89"/>
  <c r="D29" i="88"/>
  <c r="D33" i="88" s="1"/>
  <c r="C36" i="88" s="1"/>
  <c r="C43" i="88" s="1"/>
  <c r="D21" i="88"/>
  <c r="D29" i="87"/>
  <c r="D33" i="87" s="1"/>
  <c r="C36" i="87" s="1"/>
  <c r="C43" i="87" s="1"/>
  <c r="D21" i="87"/>
  <c r="D29" i="86"/>
  <c r="D33" i="86" s="1"/>
  <c r="C36" i="86" s="1"/>
  <c r="C43" i="86" s="1"/>
  <c r="D21" i="86"/>
  <c r="D29" i="85"/>
  <c r="D33" i="85" s="1"/>
  <c r="C36" i="85" s="1"/>
  <c r="C43" i="85" s="1"/>
  <c r="D21" i="85"/>
  <c r="D29" i="84"/>
  <c r="D33" i="84" s="1"/>
  <c r="C36" i="84" s="1"/>
  <c r="C43" i="84" s="1"/>
  <c r="D21" i="84"/>
  <c r="D29" i="83"/>
  <c r="D33" i="83" s="1"/>
  <c r="C36" i="83" s="1"/>
  <c r="C43" i="83" s="1"/>
  <c r="D21" i="83"/>
  <c r="D29" i="82"/>
  <c r="D33" i="82" s="1"/>
  <c r="C36" i="82" s="1"/>
  <c r="C43" i="82" s="1"/>
  <c r="D21" i="82"/>
  <c r="D29" i="81"/>
  <c r="D33" i="81" s="1"/>
  <c r="C36" i="81" s="1"/>
  <c r="C43" i="81" s="1"/>
  <c r="D21" i="81"/>
  <c r="D29" i="80"/>
  <c r="D33" i="80" s="1"/>
  <c r="C36" i="80" s="1"/>
  <c r="C43" i="80" s="1"/>
  <c r="D21" i="80"/>
  <c r="D29" i="79"/>
  <c r="D33" i="79" s="1"/>
  <c r="C36" i="79" s="1"/>
  <c r="C43" i="79" s="1"/>
  <c r="D21" i="79"/>
  <c r="D30" i="78"/>
  <c r="D34" i="78" s="1"/>
  <c r="C37" i="78" s="1"/>
  <c r="C44" i="78" s="1"/>
  <c r="D22" i="78"/>
  <c r="D30" i="77"/>
  <c r="D34" i="77" s="1"/>
  <c r="C37" i="77" s="1"/>
  <c r="C44" i="77" s="1"/>
  <c r="D22" i="77"/>
  <c r="D30" i="76"/>
  <c r="D34" i="76" s="1"/>
  <c r="C37" i="76" s="1"/>
  <c r="C44" i="76" s="1"/>
  <c r="L25" i="76"/>
  <c r="L26" i="76" s="1"/>
  <c r="L27" i="76" s="1"/>
  <c r="D22" i="76"/>
  <c r="D30" i="75"/>
  <c r="D34" i="75" s="1"/>
  <c r="C37" i="75" s="1"/>
  <c r="C44" i="75" s="1"/>
  <c r="D22" i="75"/>
  <c r="D29" i="74"/>
  <c r="D33" i="74" s="1"/>
  <c r="C36" i="74" s="1"/>
  <c r="C43" i="74" s="1"/>
  <c r="D21" i="74"/>
  <c r="D29" i="73"/>
  <c r="D33" i="73" s="1"/>
  <c r="C36" i="73" s="1"/>
  <c r="C43" i="73" s="1"/>
  <c r="D21" i="73"/>
  <c r="D29" i="72"/>
  <c r="D33" i="72" s="1"/>
  <c r="C36" i="72" s="1"/>
  <c r="C43" i="72" s="1"/>
  <c r="D21" i="72"/>
  <c r="D28" i="71"/>
  <c r="D32" i="71" s="1"/>
  <c r="C35" i="71" s="1"/>
  <c r="C42" i="71" s="1"/>
  <c r="D21" i="71"/>
  <c r="D28" i="70"/>
  <c r="D32" i="70" s="1"/>
  <c r="C35" i="70" s="1"/>
  <c r="C42" i="70" s="1"/>
  <c r="D21" i="70"/>
  <c r="D27" i="69"/>
  <c r="D31" i="69" s="1"/>
  <c r="C34" i="69" s="1"/>
  <c r="C41" i="69" s="1"/>
  <c r="D21" i="69"/>
  <c r="D27" i="68"/>
  <c r="D31" i="68" s="1"/>
  <c r="C34" i="68" s="1"/>
  <c r="C41" i="68" s="1"/>
  <c r="D21" i="68"/>
  <c r="D31" i="67"/>
  <c r="C34" i="67" s="1"/>
  <c r="C41" i="67" s="1"/>
  <c r="D27" i="67"/>
  <c r="D21" i="67"/>
  <c r="D27" i="66"/>
  <c r="D31" i="66" s="1"/>
  <c r="C34" i="66" s="1"/>
  <c r="C41" i="66" s="1"/>
  <c r="D21" i="66"/>
  <c r="D27" i="65"/>
  <c r="D31" i="65" s="1"/>
  <c r="C34" i="65" s="1"/>
  <c r="C41" i="65" s="1"/>
  <c r="D21" i="65"/>
  <c r="D27" i="64"/>
  <c r="D31" i="64" s="1"/>
  <c r="C34" i="64" s="1"/>
  <c r="C41" i="64" s="1"/>
  <c r="D21" i="64"/>
  <c r="D21" i="63"/>
  <c r="D27" i="63" s="1"/>
  <c r="D31" i="63" s="1"/>
  <c r="C34" i="63" s="1"/>
  <c r="C41" i="63" s="1"/>
  <c r="D21" i="62"/>
  <c r="D27" i="62" s="1"/>
  <c r="D31" i="62" s="1"/>
  <c r="C34" i="62" s="1"/>
  <c r="C41" i="62" s="1"/>
  <c r="D21" i="61"/>
  <c r="D27" i="61" s="1"/>
  <c r="D31" i="61" s="1"/>
  <c r="C34" i="61" s="1"/>
  <c r="C41" i="61" s="1"/>
  <c r="M12" i="61"/>
  <c r="D21" i="60"/>
  <c r="D27" i="60" s="1"/>
  <c r="D31" i="60" s="1"/>
  <c r="C34" i="60" s="1"/>
  <c r="C41" i="60" s="1"/>
  <c r="D21" i="59"/>
  <c r="D27" i="59" s="1"/>
  <c r="D31" i="59" s="1"/>
  <c r="C34" i="59" s="1"/>
  <c r="C41" i="59" s="1"/>
  <c r="D20" i="58"/>
  <c r="D26" i="58" s="1"/>
  <c r="D30" i="58" s="1"/>
  <c r="C33" i="58" s="1"/>
  <c r="C40" i="58" s="1"/>
  <c r="D20" i="57"/>
  <c r="D26" i="57" s="1"/>
  <c r="D30" i="57" s="1"/>
  <c r="C33" i="57" s="1"/>
  <c r="C40" i="57" s="1"/>
  <c r="D29" i="56"/>
  <c r="D33" i="56" s="1"/>
  <c r="C36" i="56" s="1"/>
  <c r="C43" i="56" s="1"/>
  <c r="D29" i="55"/>
  <c r="D33" i="55" s="1"/>
  <c r="C36" i="55" s="1"/>
  <c r="C43" i="55" s="1"/>
  <c r="D29" i="54"/>
  <c r="D33" i="54" s="1"/>
  <c r="C36" i="54" s="1"/>
  <c r="C43" i="54" s="1"/>
  <c r="D29" i="53"/>
  <c r="D33" i="53" s="1"/>
  <c r="C36" i="53" s="1"/>
  <c r="C43" i="53" s="1"/>
  <c r="D29" i="52"/>
  <c r="D33" i="52" s="1"/>
  <c r="C36" i="52" s="1"/>
  <c r="C43" i="52" s="1"/>
  <c r="D29" i="51"/>
  <c r="D33" i="51" s="1"/>
  <c r="C36" i="51" s="1"/>
  <c r="C43" i="51" s="1"/>
  <c r="D29" i="50"/>
  <c r="D33" i="50" s="1"/>
  <c r="C36" i="50" s="1"/>
  <c r="C43" i="50" s="1"/>
  <c r="D29" i="49"/>
  <c r="D33" i="49" s="1"/>
  <c r="C36" i="49" s="1"/>
  <c r="C43" i="49" s="1"/>
  <c r="D29" i="48"/>
  <c r="D33" i="48" s="1"/>
  <c r="C36" i="48" s="1"/>
  <c r="C43" i="48" s="1"/>
  <c r="D29" i="47"/>
  <c r="D33" i="47" s="1"/>
  <c r="C36" i="47" s="1"/>
  <c r="C43" i="47" s="1"/>
  <c r="D29" i="46"/>
  <c r="D33" i="46" s="1"/>
  <c r="C36" i="46" s="1"/>
  <c r="C43" i="46" s="1"/>
  <c r="D29" i="45"/>
  <c r="D33" i="45" s="1"/>
  <c r="C36" i="45" s="1"/>
  <c r="C43" i="45" s="1"/>
  <c r="D29" i="44"/>
  <c r="D33" i="44" s="1"/>
  <c r="C36" i="44" s="1"/>
  <c r="C43" i="44" s="1"/>
  <c r="D29" i="43"/>
  <c r="D33" i="43" s="1"/>
  <c r="C36" i="43" s="1"/>
  <c r="C43" i="43" s="1"/>
  <c r="D29" i="42"/>
  <c r="D33" i="42" s="1"/>
  <c r="C36" i="42" s="1"/>
  <c r="C43" i="42" s="1"/>
  <c r="D29" i="41"/>
  <c r="D33" i="41" s="1"/>
  <c r="C36" i="41" s="1"/>
  <c r="C43" i="41" s="1"/>
  <c r="N33" i="40"/>
  <c r="N34" i="40" s="1"/>
  <c r="L33" i="40"/>
  <c r="D30" i="40"/>
  <c r="D34" i="40" s="1"/>
  <c r="C37" i="40" s="1"/>
  <c r="C44" i="40" s="1"/>
  <c r="D30" i="39"/>
  <c r="D34" i="39" s="1"/>
  <c r="C37" i="39" s="1"/>
  <c r="C44" i="39" s="1"/>
  <c r="D30" i="38"/>
  <c r="D34" i="38" s="1"/>
  <c r="C37" i="38" s="1"/>
  <c r="C44" i="38" s="1"/>
  <c r="D30" i="37"/>
  <c r="D34" i="37" s="1"/>
  <c r="C37" i="37" s="1"/>
  <c r="C44" i="37" s="1"/>
  <c r="D30" i="36"/>
  <c r="D34" i="36" s="1"/>
  <c r="C37" i="36" s="1"/>
  <c r="C44" i="36" s="1"/>
  <c r="D30" i="35"/>
  <c r="D34" i="35" s="1"/>
  <c r="C37" i="35" s="1"/>
  <c r="C44" i="35" s="1"/>
  <c r="D30" i="34"/>
  <c r="D34" i="34" s="1"/>
  <c r="C37" i="34" s="1"/>
  <c r="D31" i="33"/>
  <c r="D35" i="33" s="1"/>
  <c r="C38" i="33" s="1"/>
  <c r="G48" i="32"/>
  <c r="G49" i="32" s="1"/>
  <c r="D29" i="32"/>
  <c r="D33" i="32" s="1"/>
  <c r="C36" i="32" s="1"/>
  <c r="C43" i="32" s="1"/>
  <c r="G48" i="31"/>
  <c r="G49" i="31" s="1"/>
  <c r="D29" i="31"/>
  <c r="D33" i="31" s="1"/>
  <c r="C36" i="31" s="1"/>
  <c r="C43" i="31" s="1"/>
  <c r="G48" i="30"/>
  <c r="G49" i="30" s="1"/>
  <c r="D29" i="30"/>
  <c r="D33" i="30" s="1"/>
  <c r="C36" i="30" s="1"/>
  <c r="C43" i="30" s="1"/>
  <c r="G48" i="29"/>
  <c r="G49" i="29" s="1"/>
  <c r="D29" i="29"/>
  <c r="D33" i="29" s="1"/>
  <c r="C36" i="29" s="1"/>
  <c r="C43" i="29" s="1"/>
  <c r="G49" i="28"/>
  <c r="G50" i="28" s="1"/>
  <c r="D30" i="28"/>
  <c r="D34" i="28" s="1"/>
  <c r="C37" i="28" s="1"/>
  <c r="C44" i="28" s="1"/>
  <c r="G49" i="27"/>
  <c r="G50" i="27" s="1"/>
  <c r="D30" i="27"/>
  <c r="D34" i="27" s="1"/>
  <c r="C37" i="27" s="1"/>
  <c r="C44" i="27" s="1"/>
  <c r="G49" i="26"/>
  <c r="G50" i="26" s="1"/>
  <c r="D30" i="26"/>
  <c r="D34" i="26" s="1"/>
  <c r="C37" i="26" s="1"/>
  <c r="C44" i="26" s="1"/>
  <c r="G49" i="25"/>
  <c r="G50" i="25" s="1"/>
  <c r="I36" i="25"/>
  <c r="D30" i="25"/>
  <c r="D34" i="25" s="1"/>
  <c r="C37" i="25" s="1"/>
  <c r="C44" i="25" s="1"/>
  <c r="G49" i="24"/>
  <c r="G50" i="24" s="1"/>
  <c r="I36" i="24"/>
  <c r="D30" i="24"/>
  <c r="D34" i="24" s="1"/>
  <c r="C37" i="24" s="1"/>
  <c r="C44" i="24" s="1"/>
  <c r="G48" i="23"/>
  <c r="G49" i="23" s="1"/>
  <c r="I35" i="23"/>
  <c r="D29" i="23"/>
  <c r="D33" i="23" s="1"/>
  <c r="C36" i="23" s="1"/>
  <c r="C43" i="23" s="1"/>
  <c r="G48" i="22"/>
  <c r="G49" i="22" s="1"/>
  <c r="I35" i="22"/>
  <c r="D29" i="22"/>
  <c r="D33" i="22" s="1"/>
  <c r="C36" i="22" s="1"/>
  <c r="C43" i="22" s="1"/>
  <c r="G48" i="21"/>
  <c r="G49" i="21" s="1"/>
  <c r="I35" i="21"/>
  <c r="D29" i="21"/>
  <c r="D33" i="21" s="1"/>
  <c r="C36" i="21" s="1"/>
  <c r="C43" i="21" s="1"/>
  <c r="G48" i="20"/>
  <c r="G49" i="20" s="1"/>
  <c r="I35" i="20"/>
  <c r="D29" i="20"/>
  <c r="D33" i="20" s="1"/>
  <c r="C36" i="20" s="1"/>
  <c r="C43" i="20" s="1"/>
  <c r="G48" i="19"/>
  <c r="G49" i="19" s="1"/>
  <c r="I35" i="19"/>
  <c r="D29" i="19"/>
  <c r="D33" i="19" s="1"/>
  <c r="C36" i="19" s="1"/>
  <c r="C43" i="19" s="1"/>
  <c r="G48" i="18"/>
  <c r="G49" i="18" s="1"/>
  <c r="I35" i="18"/>
  <c r="D29" i="18"/>
  <c r="D33" i="18" s="1"/>
  <c r="C36" i="18" s="1"/>
  <c r="C43" i="18" s="1"/>
  <c r="G48" i="17"/>
  <c r="G49" i="17" s="1"/>
  <c r="D29" i="17"/>
  <c r="D33" i="17" s="1"/>
  <c r="C36" i="17" s="1"/>
  <c r="C43" i="17" s="1"/>
  <c r="G48" i="16"/>
  <c r="G49" i="16" s="1"/>
  <c r="D29" i="16"/>
  <c r="D33" i="16" s="1"/>
  <c r="C36" i="16" s="1"/>
  <c r="C43" i="16" s="1"/>
  <c r="G48" i="15"/>
  <c r="G49" i="15" s="1"/>
  <c r="D29" i="15"/>
  <c r="D33" i="15" s="1"/>
  <c r="C36" i="15" s="1"/>
  <c r="C43" i="15" s="1"/>
  <c r="G49" i="14"/>
  <c r="G50" i="14" s="1"/>
  <c r="C37" i="14"/>
  <c r="C44" i="14" s="1"/>
  <c r="D30" i="14"/>
  <c r="D34" i="14" s="1"/>
  <c r="G49" i="13"/>
  <c r="G50" i="13" s="1"/>
  <c r="D30" i="13"/>
  <c r="D34" i="13" s="1"/>
  <c r="C37" i="13" s="1"/>
  <c r="C44" i="13" s="1"/>
  <c r="G48" i="12"/>
  <c r="G49" i="12" s="1"/>
  <c r="D29" i="12"/>
  <c r="D33" i="12" s="1"/>
  <c r="C36" i="12" s="1"/>
  <c r="C43" i="12" s="1"/>
  <c r="G47" i="11"/>
  <c r="G48" i="11" s="1"/>
  <c r="D28" i="11"/>
  <c r="D32" i="11" s="1"/>
  <c r="C35" i="11" s="1"/>
  <c r="C42" i="11" s="1"/>
  <c r="G47" i="10"/>
  <c r="G48" i="10" s="1"/>
  <c r="D28" i="10"/>
  <c r="D32" i="10" s="1"/>
  <c r="C35" i="10" s="1"/>
  <c r="C42" i="10" s="1"/>
  <c r="G46" i="9"/>
  <c r="G47" i="9" s="1"/>
  <c r="D28" i="9"/>
  <c r="D32" i="9" s="1"/>
  <c r="C35" i="9" s="1"/>
  <c r="C41" i="9" s="1"/>
  <c r="G46" i="8"/>
  <c r="G47" i="8" s="1"/>
  <c r="D28" i="8"/>
  <c r="D32" i="8" s="1"/>
  <c r="C35" i="8" s="1"/>
  <c r="C41" i="8" s="1"/>
  <c r="G46" i="7"/>
  <c r="G47" i="7" s="1"/>
  <c r="J34" i="7"/>
  <c r="K31" i="7"/>
  <c r="D28" i="7"/>
  <c r="D32" i="7" s="1"/>
  <c r="C35" i="7" s="1"/>
  <c r="C41" i="7" s="1"/>
  <c r="G46" i="6"/>
  <c r="G47" i="6" s="1"/>
  <c r="D28" i="6"/>
  <c r="D32" i="6" s="1"/>
  <c r="C35" i="6" s="1"/>
  <c r="C41" i="6" s="1"/>
  <c r="G46" i="5"/>
  <c r="G47" i="5" s="1"/>
  <c r="D28" i="5"/>
  <c r="D32" i="5" s="1"/>
  <c r="C35" i="5" s="1"/>
  <c r="C41" i="5" s="1"/>
  <c r="G33" i="4"/>
  <c r="G34" i="4" s="1"/>
  <c r="D28" i="4"/>
  <c r="D32" i="4" s="1"/>
  <c r="C35" i="4" s="1"/>
  <c r="C41" i="4" s="1"/>
  <c r="D28" i="3"/>
  <c r="D32" i="3" s="1"/>
  <c r="C35" i="3" s="1"/>
  <c r="C41" i="3" s="1"/>
  <c r="D28" i="2"/>
  <c r="D32" i="2" s="1"/>
  <c r="C35" i="2" s="1"/>
  <c r="C41" i="2" s="1"/>
</calcChain>
</file>

<file path=xl/sharedStrings.xml><?xml version="1.0" encoding="utf-8"?>
<sst xmlns="http://schemas.openxmlformats.org/spreadsheetml/2006/main" count="11380" uniqueCount="1616">
  <si>
    <t>Jan 14</t>
  </si>
  <si>
    <t>Paid</t>
  </si>
  <si>
    <t>Due Date</t>
  </si>
  <si>
    <t>Monthly Bills</t>
  </si>
  <si>
    <t>Payment</t>
  </si>
  <si>
    <t>Confirmation</t>
  </si>
  <si>
    <t>1st</t>
  </si>
  <si>
    <t>Mortgage-Wells Fargo</t>
  </si>
  <si>
    <t xml:space="preserve">45d8be5873 </t>
  </si>
  <si>
    <t>n/a</t>
  </si>
  <si>
    <t>2nd</t>
  </si>
  <si>
    <t>Rachel Student Loan-Great Lakes</t>
  </si>
  <si>
    <t>5th</t>
  </si>
  <si>
    <t>Cell Phone-Verizon</t>
  </si>
  <si>
    <t xml:space="preserve">N000000155925703  </t>
  </si>
  <si>
    <t>6th</t>
  </si>
  <si>
    <t>Gas-Columbia Gas</t>
  </si>
  <si>
    <t>GLC58-KK0YJ</t>
  </si>
  <si>
    <t>7th</t>
  </si>
  <si>
    <t>NELNET - Mike Student Loan</t>
  </si>
  <si>
    <t>62665064</t>
  </si>
  <si>
    <t xml:space="preserve">15th </t>
  </si>
  <si>
    <t>Insurance-Auto Grange - Through Feb</t>
  </si>
  <si>
    <t>Mike Car Payment</t>
  </si>
  <si>
    <t>2000-8327-2236</t>
  </si>
  <si>
    <t>Sewer and Garbage-Medina Co. Sanitation</t>
  </si>
  <si>
    <t>Water-City of Medina</t>
  </si>
  <si>
    <t>17th</t>
  </si>
  <si>
    <t>Armstrong</t>
  </si>
  <si>
    <t>GMCJ0-LGCSW</t>
  </si>
  <si>
    <t>DirectTV - Billed to Capitol One</t>
  </si>
  <si>
    <t>20th</t>
  </si>
  <si>
    <t>Citifinancial - Student Loan - Mike</t>
  </si>
  <si>
    <t>31789988</t>
  </si>
  <si>
    <t>24th</t>
  </si>
  <si>
    <t>Electric-Ohio Edison/First Energy</t>
  </si>
  <si>
    <t>29137586</t>
  </si>
  <si>
    <t>CREDIT CARDS</t>
  </si>
  <si>
    <t>19th</t>
  </si>
  <si>
    <t>Kohls</t>
  </si>
  <si>
    <t>14011202558935</t>
  </si>
  <si>
    <t>Chase</t>
  </si>
  <si>
    <t>1741022939</t>
  </si>
  <si>
    <t>Target Visa</t>
  </si>
  <si>
    <t>169872608</t>
  </si>
  <si>
    <t>10th</t>
  </si>
  <si>
    <t>PCN Visa - Rachel</t>
  </si>
  <si>
    <t>scheduled on 1/10 for 170</t>
  </si>
  <si>
    <t>16th</t>
  </si>
  <si>
    <t>PNC Visa - Mike</t>
  </si>
  <si>
    <t>195599</t>
  </si>
  <si>
    <t>18th</t>
  </si>
  <si>
    <t>Capital One</t>
  </si>
  <si>
    <t>B0KCZPBBB5</t>
  </si>
  <si>
    <t>HSBC - Capitol One</t>
  </si>
  <si>
    <t>Home Depot</t>
  </si>
  <si>
    <t>Total Monthly Bills</t>
  </si>
  <si>
    <t>Need from Savings</t>
  </si>
  <si>
    <t>Rachel Pay</t>
  </si>
  <si>
    <t>Mike Pay</t>
  </si>
  <si>
    <t>Left over monthly</t>
  </si>
  <si>
    <t>grocery</t>
  </si>
  <si>
    <t>gas</t>
  </si>
  <si>
    <t>Left over weekly</t>
  </si>
  <si>
    <t>Feb 14</t>
  </si>
  <si>
    <t>6cb0f9dc7a</t>
  </si>
  <si>
    <t>JREP6FWMWJ</t>
  </si>
  <si>
    <t xml:space="preserve">N000000158148299  </t>
  </si>
  <si>
    <t>GNSL2-NWSM0</t>
  </si>
  <si>
    <t>63426511</t>
  </si>
  <si>
    <t>Insurance-Auto Grange</t>
  </si>
  <si>
    <t xml:space="preserve">2000-8453-0361 </t>
  </si>
  <si>
    <t>GQ3Y5-C960K</t>
  </si>
  <si>
    <t>5916602246</t>
  </si>
  <si>
    <t>www.medinaoh.org</t>
  </si>
  <si>
    <t>GRF52-SNZ5D</t>
  </si>
  <si>
    <t xml:space="preserve">29594762 </t>
  </si>
  <si>
    <t>1766073922</t>
  </si>
  <si>
    <t>172074784</t>
  </si>
  <si>
    <t>455426</t>
  </si>
  <si>
    <t>B0KCZPBBB6</t>
  </si>
  <si>
    <t>121298216780954</t>
  </si>
  <si>
    <t>Mar 14</t>
  </si>
  <si>
    <t>55dc8970f9</t>
  </si>
  <si>
    <t>9WE9AT25MJ</t>
  </si>
  <si>
    <t xml:space="preserve">N000000161539906 </t>
  </si>
  <si>
    <t>GT5P5-ZDB63</t>
  </si>
  <si>
    <t>2000-8607-5294</t>
  </si>
  <si>
    <t>6003767567</t>
  </si>
  <si>
    <t>GVKKL-9NC13</t>
  </si>
  <si>
    <t xml:space="preserve"> 30078818 </t>
  </si>
  <si>
    <t>1797081119</t>
  </si>
  <si>
    <t>174348766</t>
  </si>
  <si>
    <t>939096</t>
  </si>
  <si>
    <t>251014</t>
  </si>
  <si>
    <t>B0KCZPBBB7</t>
  </si>
  <si>
    <t>131321703485998</t>
  </si>
  <si>
    <t>Apr 14</t>
  </si>
  <si>
    <t xml:space="preserve">8582d82cad </t>
  </si>
  <si>
    <t>JS3XISKYZN</t>
  </si>
  <si>
    <t xml:space="preserve">N000000164168208  </t>
  </si>
  <si>
    <t>GYDCF-YXZQH</t>
  </si>
  <si>
    <t xml:space="preserve"> 2000-8751-6283 </t>
  </si>
  <si>
    <t>paid every other month</t>
  </si>
  <si>
    <t>GYDCH-ZV044</t>
  </si>
  <si>
    <t>22nd</t>
  </si>
  <si>
    <t>6104449881 / confirm on target 177390291</t>
  </si>
  <si>
    <t>30542573</t>
  </si>
  <si>
    <t>1819307326</t>
  </si>
  <si>
    <t>176356264</t>
  </si>
  <si>
    <t>B0KCZPBBB8</t>
  </si>
  <si>
    <t>111345744088231</t>
  </si>
  <si>
    <t>Paycheck bi-weekly</t>
  </si>
  <si>
    <t>Yearly bring home</t>
  </si>
  <si>
    <t>Average monthly bring home</t>
  </si>
  <si>
    <t>May 14</t>
  </si>
  <si>
    <t>03fa37940d</t>
  </si>
  <si>
    <t xml:space="preserve"> JS8ZTZ4B57</t>
  </si>
  <si>
    <t xml:space="preserve">N000000167203233  </t>
  </si>
  <si>
    <t>GZXG2-GK0HF</t>
  </si>
  <si>
    <t xml:space="preserve"> 2000-8848-5953 </t>
  </si>
  <si>
    <t>Water-City of Medina Acct # A070084002</t>
  </si>
  <si>
    <t>6145703639</t>
  </si>
  <si>
    <t>H00W4-D5QJC</t>
  </si>
  <si>
    <t>31258964</t>
  </si>
  <si>
    <t>1846277528</t>
  </si>
  <si>
    <t xml:space="preserve"> 178514571</t>
  </si>
  <si>
    <t>490006</t>
  </si>
  <si>
    <t>B0KCZPBBB9</t>
  </si>
  <si>
    <t>121370684045319</t>
  </si>
  <si>
    <t>June 14</t>
  </si>
  <si>
    <t>Mortgage-PNC</t>
  </si>
  <si>
    <t>JP1KDSIYE9</t>
  </si>
  <si>
    <t xml:space="preserve"> N000000169992241</t>
  </si>
  <si>
    <t>34W4153104123 and 34W4153104309</t>
  </si>
  <si>
    <t>2000-9028-4419</t>
  </si>
  <si>
    <t>H4579-48RQQ</t>
  </si>
  <si>
    <t xml:space="preserve">31660631 </t>
  </si>
  <si>
    <t>851254</t>
  </si>
  <si>
    <t>179739</t>
  </si>
  <si>
    <t>B0KCZPBBCB</t>
  </si>
  <si>
    <t>131396583401529</t>
  </si>
  <si>
    <t>July 14</t>
  </si>
  <si>
    <t>16013215</t>
  </si>
  <si>
    <t>9W52SSRHHL</t>
  </si>
  <si>
    <t>N000000172351158</t>
  </si>
  <si>
    <t>H5TTG-ZHTM7</t>
  </si>
  <si>
    <t>2000-9155-4855</t>
  </si>
  <si>
    <t>H73CC-5RZ90</t>
  </si>
  <si>
    <t>943139</t>
  </si>
  <si>
    <t>162909</t>
  </si>
  <si>
    <t>B0KCZPBBCC</t>
  </si>
  <si>
    <t>Aug 14</t>
  </si>
  <si>
    <t>9VV4831DU1</t>
  </si>
  <si>
    <t>N000000175614288</t>
  </si>
  <si>
    <t>14th</t>
  </si>
  <si>
    <t>HBJZQ-D1Q20</t>
  </si>
  <si>
    <t>1320774 - Paid 236.00 paid in full for 6 months / Second payment attempt 1353437</t>
  </si>
  <si>
    <t>2000-9305-2030</t>
  </si>
  <si>
    <t>HBJZS-8VQ3L</t>
  </si>
  <si>
    <t>32394469</t>
  </si>
  <si>
    <t xml:space="preserve">32633143 </t>
  </si>
  <si>
    <t>Reading submitted 22485 8/14/14</t>
  </si>
  <si>
    <t>Reading on 8/23/14 23757</t>
  </si>
  <si>
    <t>111454442285444</t>
  </si>
  <si>
    <t>142395</t>
  </si>
  <si>
    <t>B0KCZPBBCD</t>
  </si>
  <si>
    <t>Sept 14</t>
  </si>
  <si>
    <t>HDNY1-MWNF8</t>
  </si>
  <si>
    <t>JRKXF28XPT</t>
  </si>
  <si>
    <t>N000000178669436</t>
  </si>
  <si>
    <t xml:space="preserve"> HFPLY-4624Y</t>
  </si>
  <si>
    <t>2000-9414-0437</t>
  </si>
  <si>
    <t>6512932674</t>
  </si>
  <si>
    <t xml:space="preserve">HFPLV-QVY3B </t>
  </si>
  <si>
    <t xml:space="preserve">33118090 </t>
  </si>
  <si>
    <t>111479718098053</t>
  </si>
  <si>
    <t>833455</t>
  </si>
  <si>
    <t>384614</t>
  </si>
  <si>
    <t>1974948156</t>
  </si>
  <si>
    <t>B0KCZPBBCF</t>
  </si>
  <si>
    <t>Oct 14</t>
  </si>
  <si>
    <t>HHMGX-1H5T7</t>
  </si>
  <si>
    <t>N000000181371930</t>
  </si>
  <si>
    <t>HHMJ0-GFQ1B</t>
  </si>
  <si>
    <t>2000-9530-2382</t>
  </si>
  <si>
    <t>Water-City of Medina Acct # B250021002</t>
  </si>
  <si>
    <t>6588502671</t>
  </si>
  <si>
    <t>HHMHZ-KM9W6</t>
  </si>
  <si>
    <t xml:space="preserve">33592953 </t>
  </si>
  <si>
    <t>111502020600468</t>
  </si>
  <si>
    <t>013635</t>
  </si>
  <si>
    <t>2007487226</t>
  </si>
  <si>
    <t>B0KCZPBBCG</t>
  </si>
  <si>
    <t>Logan Preschool</t>
  </si>
  <si>
    <t>Nov 14</t>
  </si>
  <si>
    <t>HLNH2-WRR7M</t>
  </si>
  <si>
    <t>N000000184160805</t>
  </si>
  <si>
    <t>HN0H9-TYNPT</t>
  </si>
  <si>
    <t>2000-9728-6042</t>
  </si>
  <si>
    <t>6667280009</t>
  </si>
  <si>
    <t>HN0HC-CW9GL</t>
  </si>
  <si>
    <t xml:space="preserve">34089933 </t>
  </si>
  <si>
    <t>121527882749860</t>
  </si>
  <si>
    <t>2036221760</t>
  </si>
  <si>
    <t>B0KCZPBBCH</t>
  </si>
  <si>
    <t>HPD2Y-QNZKL</t>
  </si>
  <si>
    <t>N000000186641947</t>
  </si>
  <si>
    <t>2000-9858-0049</t>
  </si>
  <si>
    <t>PNC Loan</t>
  </si>
  <si>
    <t xml:space="preserve"> HR13F-FP6BX </t>
  </si>
  <si>
    <t>26th</t>
  </si>
  <si>
    <t>Lending Club</t>
  </si>
  <si>
    <t>Home Depot (paid off 11/28 $3403.71)</t>
  </si>
  <si>
    <t>111551157200555</t>
  </si>
  <si>
    <t>999405</t>
  </si>
  <si>
    <t>1471.72 paid</t>
  </si>
  <si>
    <t>Target Visa (paid off 11/28 8370.31)</t>
  </si>
  <si>
    <t>Jan 15</t>
  </si>
  <si>
    <t>HSFB8-7YSYJ</t>
  </si>
  <si>
    <t>N000000189405091</t>
  </si>
  <si>
    <t>HTVK3-BYPM2</t>
  </si>
  <si>
    <t>2000-9979-5087</t>
  </si>
  <si>
    <t>HVYMK-PGCYQ</t>
  </si>
  <si>
    <t>048794</t>
  </si>
  <si>
    <t>paid $126.99</t>
  </si>
  <si>
    <t>262833</t>
  </si>
  <si>
    <t>paid $512.04</t>
  </si>
  <si>
    <t>197337355 / 198973601</t>
  </si>
  <si>
    <t>paid $178.32</t>
  </si>
  <si>
    <t>B0KCZPBBCJ</t>
  </si>
  <si>
    <t>23rd</t>
  </si>
  <si>
    <t>Wells Fargo (Windows)</t>
  </si>
  <si>
    <t xml:space="preserve">#FIEG9Z5YHC </t>
  </si>
  <si>
    <t>HX5KD-QVFXZ</t>
  </si>
  <si>
    <t>Rachel Student Loan-Great Lakes Due 3/2</t>
  </si>
  <si>
    <t>N000000192892296</t>
  </si>
  <si>
    <t>HXPLM-JYN0V</t>
  </si>
  <si>
    <t>2001-0110-1307</t>
  </si>
  <si>
    <t>HXPM8-VK0CY</t>
  </si>
  <si>
    <t>6904086571 / PNC 385539</t>
  </si>
  <si>
    <t>HXPLP-02HF2</t>
  </si>
  <si>
    <t>32795719</t>
  </si>
  <si>
    <t>111613474264563</t>
  </si>
  <si>
    <t>063431</t>
  </si>
  <si>
    <t>B0KCZPBBCK</t>
  </si>
  <si>
    <t>Wells Fargo (Windows) Paid off 2/7/15 $4920.60</t>
  </si>
  <si>
    <t>#FIECF4LLNC</t>
  </si>
  <si>
    <t>Mar 15</t>
  </si>
  <si>
    <t xml:space="preserve">J09W8-X2TJC </t>
  </si>
  <si>
    <t>JQOML0H6W9</t>
  </si>
  <si>
    <t>N000000195666493</t>
  </si>
  <si>
    <t>J1FT8-0WJ6L</t>
  </si>
  <si>
    <t>Insurance-Auto Grange (Renewed in Feb 15)</t>
  </si>
  <si>
    <t xml:space="preserve">2001-0275-8009 </t>
  </si>
  <si>
    <t>7023393998</t>
  </si>
  <si>
    <t>J1FTS-N0BNW</t>
  </si>
  <si>
    <t xml:space="preserve">36490797 </t>
  </si>
  <si>
    <t xml:space="preserve">Home Depot </t>
  </si>
  <si>
    <t>111636688970016</t>
  </si>
  <si>
    <t>863202</t>
  </si>
  <si>
    <t>880256</t>
  </si>
  <si>
    <t>B0KCZPBBCL</t>
  </si>
  <si>
    <t>Apr 15</t>
  </si>
  <si>
    <t>J3C6F-59BCM</t>
  </si>
  <si>
    <t>JQI5VZCNAH</t>
  </si>
  <si>
    <t>N000000198568941</t>
  </si>
  <si>
    <t>Insurance-Auto Grange (Renewed in Feb 15)7/15</t>
  </si>
  <si>
    <t xml:space="preserve">2001-0423-1811 </t>
  </si>
  <si>
    <t>J3C6F-580XF</t>
  </si>
  <si>
    <t>7101194776</t>
  </si>
  <si>
    <t>J4S22-GPR3M</t>
  </si>
  <si>
    <t>37012487</t>
  </si>
  <si>
    <t>121664788901914</t>
  </si>
  <si>
    <t>B0KCZPBBCM</t>
  </si>
  <si>
    <t>May 15</t>
  </si>
  <si>
    <t>J6HJX-S4WYV</t>
  </si>
  <si>
    <t>JPZ71BRP79</t>
  </si>
  <si>
    <t>N000000201364064</t>
  </si>
  <si>
    <t xml:space="preserve"> J7VRT-ZN1B8  Paid $42 </t>
  </si>
  <si>
    <t xml:space="preserve">2001-0498-1983 </t>
  </si>
  <si>
    <t>7182522757</t>
  </si>
  <si>
    <t>J922S-CLL90</t>
  </si>
  <si>
    <t>DirectTV - Billed to PNC card</t>
  </si>
  <si>
    <t>37573567</t>
  </si>
  <si>
    <t>111685117735962</t>
  </si>
  <si>
    <t>577552</t>
  </si>
  <si>
    <t>15052692334446</t>
  </si>
  <si>
    <t>June 15</t>
  </si>
  <si>
    <t xml:space="preserve">J9FXT-QS234 </t>
  </si>
  <si>
    <t>9UHACO59U5</t>
  </si>
  <si>
    <t>N000000204114304</t>
  </si>
  <si>
    <t>JBVK4-L04YZ</t>
  </si>
  <si>
    <t>Insurance-Auto Grange (Renew 8/28/15)</t>
  </si>
  <si>
    <t>2001-0695-7564</t>
  </si>
  <si>
    <t>7283139737</t>
  </si>
  <si>
    <t>JBVKQ-0JQ9M</t>
  </si>
  <si>
    <t>paid 129.22 on 6/17 not in checkbook</t>
  </si>
  <si>
    <t>131710262535864</t>
  </si>
  <si>
    <t>473202</t>
  </si>
  <si>
    <t>762911</t>
  </si>
  <si>
    <t>July 15</t>
  </si>
  <si>
    <t xml:space="preserve">N000000207441620  </t>
  </si>
  <si>
    <t>13th</t>
  </si>
  <si>
    <t xml:space="preserve">Rachel Student Loan-Great Lakes </t>
  </si>
  <si>
    <t>JFXP1-JL106</t>
  </si>
  <si>
    <t xml:space="preserve">2001-0830-0476 </t>
  </si>
  <si>
    <t>JFXQ4-CHM7W</t>
  </si>
  <si>
    <t>JFXPP-RHJTF</t>
  </si>
  <si>
    <t>not in checkbook yet</t>
  </si>
  <si>
    <t>111745573525266</t>
  </si>
  <si>
    <t>217140</t>
  </si>
  <si>
    <t>256278</t>
  </si>
  <si>
    <t>Aug 15</t>
  </si>
  <si>
    <t>JJ0RX-CMSY6</t>
  </si>
  <si>
    <t>N000000210069059</t>
  </si>
  <si>
    <t xml:space="preserve">JQVUVS8QOD </t>
  </si>
  <si>
    <t>JK77G-FCV0G</t>
  </si>
  <si>
    <t>2001-0981-9407</t>
  </si>
  <si>
    <t xml:space="preserve">JK0TS-9FQ0V </t>
  </si>
  <si>
    <t>JK784-SBN67</t>
  </si>
  <si>
    <t>JK77J-VJ0KL</t>
  </si>
  <si>
    <t>39223996</t>
  </si>
  <si>
    <t>950029</t>
  </si>
  <si>
    <t>Sept 15</t>
  </si>
  <si>
    <t>JM2B9-Q8XFD</t>
  </si>
  <si>
    <t>N000000213237801</t>
  </si>
  <si>
    <t>JPS4VMWR35</t>
  </si>
  <si>
    <t xml:space="preserve">JNRXB-X0BYQ </t>
  </si>
  <si>
    <t xml:space="preserve">2001-1121-3026 </t>
  </si>
  <si>
    <t>-</t>
  </si>
  <si>
    <t>7536684377</t>
  </si>
  <si>
    <t>JN6DR-PP81C</t>
  </si>
  <si>
    <t>DirectTV - Billed to PNC</t>
  </si>
  <si>
    <t>39730853</t>
  </si>
  <si>
    <t>111794251987004</t>
  </si>
  <si>
    <t>188402</t>
  </si>
  <si>
    <t>720450</t>
  </si>
  <si>
    <t>15090412352866</t>
  </si>
  <si>
    <t>Oct 15</t>
  </si>
  <si>
    <t>N000000215910791</t>
  </si>
  <si>
    <t>JPTAGGAC5T</t>
  </si>
  <si>
    <t>JR6T5-RS4MN</t>
  </si>
  <si>
    <t xml:space="preserve">2001-1259-5002 </t>
  </si>
  <si>
    <t>JR6T8-WTBN2</t>
  </si>
  <si>
    <t>JRNBB-CNRRB</t>
  </si>
  <si>
    <t>JRNBF-XD1RF</t>
  </si>
  <si>
    <t>Paid 129.22 Not in checkbook</t>
  </si>
  <si>
    <t>131819008941731</t>
  </si>
  <si>
    <t>062083</t>
  </si>
  <si>
    <t>Nov 15</t>
  </si>
  <si>
    <t>N000000218626123</t>
  </si>
  <si>
    <t xml:space="preserve"> JVRLD-H246W </t>
  </si>
  <si>
    <t>2001-1428-9871</t>
  </si>
  <si>
    <t>JVRLM-D5P8T</t>
  </si>
  <si>
    <t>JVRLF-WNBLZ</t>
  </si>
  <si>
    <t>121844173211857</t>
  </si>
  <si>
    <t>404413</t>
  </si>
  <si>
    <t>825771</t>
  </si>
  <si>
    <t>Mortgage-Quicken</t>
  </si>
  <si>
    <t>ZQ5CE2VQ</t>
  </si>
  <si>
    <t>Kids Pre-school (Logan $135 - Olivia $90)</t>
  </si>
  <si>
    <t>JPCEKET035</t>
  </si>
  <si>
    <t>Insurance-Auto Grange (Renew 2/28/16)</t>
  </si>
  <si>
    <t>JYQY0-71DTY</t>
  </si>
  <si>
    <t>JYQY0-710HV</t>
  </si>
  <si>
    <t>33416792</t>
  </si>
  <si>
    <t>28th</t>
  </si>
  <si>
    <t>41615761</t>
  </si>
  <si>
    <t>576642</t>
  </si>
  <si>
    <t>15121334147609</t>
  </si>
  <si>
    <t>Jan 16</t>
  </si>
  <si>
    <t>AA9CM3EF</t>
  </si>
  <si>
    <t>N000000224333116</t>
  </si>
  <si>
    <t xml:space="preserve"> JQJCAZ3YFX</t>
  </si>
  <si>
    <t>K1FDH-ZLN8V</t>
  </si>
  <si>
    <t>2001-1694-9304</t>
  </si>
  <si>
    <t>K1FF8-6W9KW</t>
  </si>
  <si>
    <t>K1FDK-FW0MD</t>
  </si>
  <si>
    <t>42212855</t>
  </si>
  <si>
    <t>111904546281277</t>
  </si>
  <si>
    <t>373144</t>
  </si>
  <si>
    <t>Feb 16</t>
  </si>
  <si>
    <t>YL3VW8WY</t>
  </si>
  <si>
    <t>N000000227405768</t>
  </si>
  <si>
    <t>9UQ13EGCU5</t>
  </si>
  <si>
    <t>K4SR7-79WYN</t>
  </si>
  <si>
    <t>Insurance-Auto Grange (Renewed 2/28/16)</t>
  </si>
  <si>
    <t>2001-1860-8645</t>
  </si>
  <si>
    <t>K4SQR-1SF08</t>
  </si>
  <si>
    <t>K4SQT-L4MTD</t>
  </si>
  <si>
    <t>K52VH-P1QQM</t>
  </si>
  <si>
    <t>42757550</t>
  </si>
  <si>
    <t>121928041230193</t>
  </si>
  <si>
    <t>019654</t>
  </si>
  <si>
    <t>March 16</t>
  </si>
  <si>
    <t>PL4KG6CF</t>
  </si>
  <si>
    <t>N000000230377957</t>
  </si>
  <si>
    <t>K8NQ9-MFTV8</t>
  </si>
  <si>
    <t xml:space="preserve"> 2001-2037-1798 </t>
  </si>
  <si>
    <t>8084738793</t>
  </si>
  <si>
    <t xml:space="preserve">K8G7L-RR4QM  </t>
  </si>
  <si>
    <t>43318393</t>
  </si>
  <si>
    <t>B0KCZPBBCN</t>
  </si>
  <si>
    <t>16031557063709</t>
  </si>
  <si>
    <t>Apr 16</t>
  </si>
  <si>
    <t>QU7MQ8HH</t>
  </si>
  <si>
    <t>check 1278</t>
  </si>
  <si>
    <t>N000000232981196</t>
  </si>
  <si>
    <t>E83PQGX6HD</t>
  </si>
  <si>
    <t xml:space="preserve"> 2001-2186-5569</t>
  </si>
  <si>
    <t>KBRJ7-11YQM</t>
  </si>
  <si>
    <t>KBRJ9-QVFYR</t>
  </si>
  <si>
    <t>KCG1S-NRR65</t>
  </si>
  <si>
    <t>667712</t>
  </si>
  <si>
    <t>May 16</t>
  </si>
  <si>
    <t>KV2SR9WC</t>
  </si>
  <si>
    <t>N000000235466637</t>
  </si>
  <si>
    <t>CFB1VTSCWP</t>
  </si>
  <si>
    <t>KGMK1-N9MZ3</t>
  </si>
  <si>
    <t xml:space="preserve"> 2001-2343-1521 </t>
  </si>
  <si>
    <t>KGMK8-ZM4PY</t>
  </si>
  <si>
    <t>KGMK4-6PGJ5</t>
  </si>
  <si>
    <t>44721717</t>
  </si>
  <si>
    <t>569824</t>
  </si>
  <si>
    <t>June 16</t>
  </si>
  <si>
    <t>ZQ5VY4BE</t>
  </si>
  <si>
    <t>N000000238586532</t>
  </si>
  <si>
    <t xml:space="preserve">R62EZ3WQU1 </t>
  </si>
  <si>
    <t>KK833-KZM20</t>
  </si>
  <si>
    <t xml:space="preserve"> 2001-2473-4687 </t>
  </si>
  <si>
    <t>KK83K-46418</t>
  </si>
  <si>
    <t>KK83M-HF34W</t>
  </si>
  <si>
    <t>KK835-066MC</t>
  </si>
  <si>
    <t>169087</t>
  </si>
  <si>
    <t>July 16</t>
  </si>
  <si>
    <t>WC5JQ9ZD</t>
  </si>
  <si>
    <t>N000000241184922</t>
  </si>
  <si>
    <t xml:space="preserve">PJAS69CSCH </t>
  </si>
  <si>
    <t>KN662-96ZFB</t>
  </si>
  <si>
    <t>200126171587</t>
  </si>
  <si>
    <t xml:space="preserve">KN666-6HQDF </t>
  </si>
  <si>
    <t>KN663-9W2GK</t>
  </si>
  <si>
    <t>266226</t>
  </si>
  <si>
    <t>Aug 16</t>
  </si>
  <si>
    <t>BK4PD8HS</t>
  </si>
  <si>
    <t>N000000244195879</t>
  </si>
  <si>
    <t xml:space="preserve">BBVZZW0QNH </t>
  </si>
  <si>
    <t>KRTM2-TM903</t>
  </si>
  <si>
    <t>200128039288</t>
  </si>
  <si>
    <t>000018514864</t>
  </si>
  <si>
    <t>KRTMV-YKF6M</t>
  </si>
  <si>
    <t xml:space="preserve"> KRTM4-4HVC4 </t>
  </si>
  <si>
    <t>46425725</t>
  </si>
  <si>
    <t>Sept 16</t>
  </si>
  <si>
    <t>AB8GJ3TA</t>
  </si>
  <si>
    <t>Olivia Preschool</t>
  </si>
  <si>
    <t>N000000247097768</t>
  </si>
  <si>
    <t xml:space="preserve">HNPNT789K5 </t>
  </si>
  <si>
    <t>200129853949</t>
  </si>
  <si>
    <t>New Car payment</t>
  </si>
  <si>
    <t>KW2Z3-0QHJR</t>
  </si>
  <si>
    <t xml:space="preserve"> KVNDP-K3D0J</t>
  </si>
  <si>
    <t>47264349</t>
  </si>
  <si>
    <t>Oct 16</t>
  </si>
  <si>
    <t>GJ8NU5RL</t>
  </si>
  <si>
    <t>N000000249578966</t>
  </si>
  <si>
    <t>KZ65Y-XQNBW</t>
  </si>
  <si>
    <t>Insurance-Auto Grange (Renewed 8/21/16)</t>
  </si>
  <si>
    <t>200131296643</t>
  </si>
  <si>
    <t>KYTTZ-2WXPZ</t>
  </si>
  <si>
    <t>Van payment</t>
  </si>
  <si>
    <t>10684261</t>
  </si>
  <si>
    <t>KYTTZ-2VY7K</t>
  </si>
  <si>
    <t>KZ65X-SKTDQ</t>
  </si>
  <si>
    <t>112134382988255</t>
  </si>
  <si>
    <t>526042</t>
  </si>
  <si>
    <t>Nov 16</t>
  </si>
  <si>
    <t>TQ7RJ3SA</t>
  </si>
  <si>
    <t>#1283</t>
  </si>
  <si>
    <t>N000000271143536</t>
  </si>
  <si>
    <t xml:space="preserve"> L27L4-SD4C9 </t>
  </si>
  <si>
    <t>200132903988</t>
  </si>
  <si>
    <t>11793878</t>
  </si>
  <si>
    <t>L27L0-P0XPQ</t>
  </si>
  <si>
    <t>L27L3-17N53</t>
  </si>
  <si>
    <t>Firstmark - Citifinancial - Student Loan - Mike</t>
  </si>
  <si>
    <t>7405772</t>
  </si>
  <si>
    <t>48420175</t>
  </si>
  <si>
    <t>112164698490192</t>
  </si>
  <si>
    <t>468277</t>
  </si>
  <si>
    <t>Dec 16</t>
  </si>
  <si>
    <t>SC4LN6VB</t>
  </si>
  <si>
    <t>N000000274466986</t>
  </si>
  <si>
    <t xml:space="preserve"> L55N2-4WHJ1 </t>
  </si>
  <si>
    <t>200134429158</t>
  </si>
  <si>
    <t>L55NM-5CWW1</t>
  </si>
  <si>
    <t>12829951</t>
  </si>
  <si>
    <t>L55NM-5BPXN</t>
  </si>
  <si>
    <t>7550935</t>
  </si>
  <si>
    <t>48990207</t>
  </si>
  <si>
    <t>112194290572807</t>
  </si>
  <si>
    <t>967886</t>
  </si>
  <si>
    <t>Jan 17</t>
  </si>
  <si>
    <t xml:space="preserve">MG8XL5NR </t>
  </si>
  <si>
    <t>N000000277685866</t>
  </si>
  <si>
    <t>L7XFS-1KSSQ</t>
  </si>
  <si>
    <t>200135876195</t>
  </si>
  <si>
    <t xml:space="preserve">L7XG6-1Z7C5 </t>
  </si>
  <si>
    <t xml:space="preserve"> L7XG9-3QS77 </t>
  </si>
  <si>
    <t>7702692</t>
  </si>
  <si>
    <t>49574860</t>
  </si>
  <si>
    <t>112219071210744</t>
  </si>
  <si>
    <t>567781</t>
  </si>
  <si>
    <t>Feb 17</t>
  </si>
  <si>
    <t>SW4GR5YZ</t>
  </si>
  <si>
    <t>NV00000280689592</t>
  </si>
  <si>
    <t>LC8WV-F6R06</t>
  </si>
  <si>
    <t>Insurance-Auto Grange (Renewed 2/17/17) - 3837862</t>
  </si>
  <si>
    <t>200137691462</t>
  </si>
  <si>
    <t>LC8WM-2HCZY</t>
  </si>
  <si>
    <t>15059145</t>
  </si>
  <si>
    <t>LC8WM-2GKJL</t>
  </si>
  <si>
    <t>LD007-QKVK4</t>
  </si>
  <si>
    <t>7845192</t>
  </si>
  <si>
    <t>50169278</t>
  </si>
  <si>
    <t>112242719514423</t>
  </si>
  <si>
    <t>500340</t>
  </si>
  <si>
    <t>March 17</t>
  </si>
  <si>
    <t>ZU7QS4EE</t>
  </si>
  <si>
    <t>NV00000283506557</t>
  </si>
  <si>
    <t>LGXTL-7KJY5</t>
  </si>
  <si>
    <t>200139627084</t>
  </si>
  <si>
    <t>16391139</t>
  </si>
  <si>
    <t>LGXSX-9RKC6</t>
  </si>
  <si>
    <t>LGXSX-9QS9Y</t>
  </si>
  <si>
    <t>$129.86 - 8024617</t>
  </si>
  <si>
    <t>51046041</t>
  </si>
  <si>
    <t>856958</t>
  </si>
  <si>
    <t>Paid 141 3/17 - 281024443</t>
  </si>
  <si>
    <t>Paid $39 3/17 - B0KCZPBBCQ</t>
  </si>
  <si>
    <t>paid $20 3/17  - B0KCZPBBCP</t>
  </si>
  <si>
    <t>April 17</t>
  </si>
  <si>
    <t>MC5SW6SG</t>
  </si>
  <si>
    <t>NV00000286190778</t>
  </si>
  <si>
    <t>LL1W8-GGY59</t>
  </si>
  <si>
    <t>200141330567</t>
  </si>
  <si>
    <t>LKFVP-2XR0B</t>
  </si>
  <si>
    <t>Van payment - American Honda</t>
  </si>
  <si>
    <t>17568617</t>
  </si>
  <si>
    <t>LKFVP-2WJGF</t>
  </si>
  <si>
    <t xml:space="preserve"> LL1W9-GC0P7 </t>
  </si>
  <si>
    <t xml:space="preserve"> 8230850</t>
  </si>
  <si>
    <t>51697505</t>
  </si>
  <si>
    <t>132297755547789</t>
  </si>
  <si>
    <t>159692</t>
  </si>
  <si>
    <t>May 17</t>
  </si>
  <si>
    <t>KQ9NB5AL</t>
  </si>
  <si>
    <t>NV00000288820050</t>
  </si>
  <si>
    <t>18659947</t>
  </si>
  <si>
    <t>LPMJJ-1Y0RB</t>
  </si>
  <si>
    <t>LPMJM-WPN4K</t>
  </si>
  <si>
    <t>8371953</t>
  </si>
  <si>
    <t>52170741</t>
  </si>
  <si>
    <t>122315262674088</t>
  </si>
  <si>
    <t>953744</t>
  </si>
  <si>
    <t>522834 / 815668</t>
  </si>
  <si>
    <t>June 17</t>
  </si>
  <si>
    <t>JV4DC4QA</t>
  </si>
  <si>
    <t>NV00000292323548</t>
  </si>
  <si>
    <t>LSGL6-1KRG8</t>
  </si>
  <si>
    <t>313-7473569-1</t>
  </si>
  <si>
    <t>LR6N2-MQ38M</t>
  </si>
  <si>
    <t>197154813</t>
  </si>
  <si>
    <t>LSGKH-LGM98</t>
  </si>
  <si>
    <t>LSGKK-7XMR3</t>
  </si>
  <si>
    <t>52917602</t>
  </si>
  <si>
    <t>132346083221738</t>
  </si>
  <si>
    <t>313261</t>
  </si>
  <si>
    <t>July 17</t>
  </si>
  <si>
    <t>NE8YU8FW</t>
  </si>
  <si>
    <t>11th</t>
  </si>
  <si>
    <t>SOFI - Student Loan</t>
  </si>
  <si>
    <t>OLP3433994619</t>
  </si>
  <si>
    <t>34W7182140637</t>
  </si>
  <si>
    <t xml:space="preserve">313-7473569-2 </t>
  </si>
  <si>
    <t>21012416</t>
  </si>
  <si>
    <t>LWHHX-P9PV4</t>
  </si>
  <si>
    <t>LWHHX-P8RHR</t>
  </si>
  <si>
    <t>122370421346768</t>
  </si>
  <si>
    <t>144934</t>
  </si>
  <si>
    <t>Aug 17</t>
  </si>
  <si>
    <t>VJ9RL4AA</t>
  </si>
  <si>
    <t>NV00000298204833</t>
  </si>
  <si>
    <t>OLP1934077699</t>
  </si>
  <si>
    <t>LZB8T-WRNY4</t>
  </si>
  <si>
    <t>Insurance-Auto Grange (Renewed 8/13/17) - 4393970</t>
  </si>
  <si>
    <t>313-7473569-3</t>
  </si>
  <si>
    <t>LZB8T-WRR7G</t>
  </si>
  <si>
    <t>22060925</t>
  </si>
  <si>
    <t>LZB8T-WR4BX</t>
  </si>
  <si>
    <t>LZB8Y-6VDGQ</t>
  </si>
  <si>
    <t>54286376</t>
  </si>
  <si>
    <t>132397915211180</t>
  </si>
  <si>
    <t>889602</t>
  </si>
  <si>
    <t>Sept 17</t>
  </si>
  <si>
    <t>JK7KD6ZU</t>
  </si>
  <si>
    <t>NV00000300946185</t>
  </si>
  <si>
    <t>OLP3554135141</t>
  </si>
  <si>
    <t>313-7473569-4</t>
  </si>
  <si>
    <t>23132568</t>
  </si>
  <si>
    <t>M3P06-PZR0M</t>
  </si>
  <si>
    <t>M27KV-7Y5W6</t>
  </si>
  <si>
    <t>54924100</t>
  </si>
  <si>
    <t>112430755014374</t>
  </si>
  <si>
    <t>330078</t>
  </si>
  <si>
    <t>Oct 17</t>
  </si>
  <si>
    <t>TD5JH6FX</t>
  </si>
  <si>
    <t>NV00000304319761</t>
  </si>
  <si>
    <t>OLP0234189828</t>
  </si>
  <si>
    <t>M6FC5-G90MW</t>
  </si>
  <si>
    <t>313-7473569-5</t>
  </si>
  <si>
    <t>M52BW-08N60</t>
  </si>
  <si>
    <t>24175597</t>
  </si>
  <si>
    <t>M52BW-0813W</t>
  </si>
  <si>
    <t>M6FC4-39PXD</t>
  </si>
  <si>
    <t>55557408</t>
  </si>
  <si>
    <t>122454037688883</t>
  </si>
  <si>
    <t>368631</t>
  </si>
  <si>
    <t>17102194592049</t>
  </si>
  <si>
    <t>B0KCZPBBCR</t>
  </si>
  <si>
    <t>Nov 17</t>
  </si>
  <si>
    <t>MM9RV2LV</t>
  </si>
  <si>
    <t>NV00000307265052</t>
  </si>
  <si>
    <t>OLP7354250440</t>
  </si>
  <si>
    <t>M80KK-C27JT</t>
  </si>
  <si>
    <t>313-7473569-6</t>
  </si>
  <si>
    <t>pd $56.86 M98GG-4MCX7</t>
  </si>
  <si>
    <t xml:space="preserve">pd $72.95  M9843-R4MM0 </t>
  </si>
  <si>
    <t>56484965</t>
  </si>
  <si>
    <t>112479138141038</t>
  </si>
  <si>
    <t>pd $202 307113381</t>
  </si>
  <si>
    <t>Dec 17</t>
  </si>
  <si>
    <t>HS7UV9EH</t>
  </si>
  <si>
    <t>NV00000310170539</t>
  </si>
  <si>
    <t>OLP6314308431</t>
  </si>
  <si>
    <t>MBYQ2-6G5YK</t>
  </si>
  <si>
    <t>313-7473569-7</t>
  </si>
  <si>
    <t>MD6BC-7X09Y</t>
  </si>
  <si>
    <t>MD6BC-7WLVS</t>
  </si>
  <si>
    <t>MD6BC-7VPG3</t>
  </si>
  <si>
    <t>56960094</t>
  </si>
  <si>
    <t>132503355127616</t>
  </si>
  <si>
    <t>559016</t>
  </si>
  <si>
    <t>17120204378509</t>
  </si>
  <si>
    <t>Jan 18</t>
  </si>
  <si>
    <t>GR6UR8CR</t>
  </si>
  <si>
    <t>NV00000312882762</t>
  </si>
  <si>
    <t>OLP6794383522</t>
  </si>
  <si>
    <t xml:space="preserve"> MH385-92PXP </t>
  </si>
  <si>
    <t>313-7473569-8</t>
  </si>
  <si>
    <t>MGHY1-67TFQ</t>
  </si>
  <si>
    <t xml:space="preserve"> MH386-7KC7F </t>
  </si>
  <si>
    <t>57705581</t>
  </si>
  <si>
    <t>122534540835060</t>
  </si>
  <si>
    <t>17122811202285</t>
  </si>
  <si>
    <t>Feb 18</t>
  </si>
  <si>
    <t>NK5AM5YD</t>
  </si>
  <si>
    <t>NV00000316168347</t>
  </si>
  <si>
    <t>OLP4064456658</t>
  </si>
  <si>
    <t>34W8040125833</t>
  </si>
  <si>
    <t>Insurance-Auto Grange (Renewed 2/9/18) - 4954800</t>
  </si>
  <si>
    <t>313-7473569-9</t>
  </si>
  <si>
    <t>MKYSL-WF1S0</t>
  </si>
  <si>
    <t xml:space="preserve"> MKYQG-85LXC </t>
  </si>
  <si>
    <t>132563254785388</t>
  </si>
  <si>
    <t>185957</t>
  </si>
  <si>
    <t>B0KCZPBBCS</t>
  </si>
  <si>
    <t>March 18</t>
  </si>
  <si>
    <t>SQ4KT2WM</t>
  </si>
  <si>
    <t>NV00000319110861</t>
  </si>
  <si>
    <t>OLP2134530570</t>
  </si>
  <si>
    <t xml:space="preserve"> MPCYK-1ZYTL </t>
  </si>
  <si>
    <t>313-7473569-10</t>
  </si>
  <si>
    <t>MPCYL-S570R</t>
  </si>
  <si>
    <t>59068112</t>
  </si>
  <si>
    <t>995886</t>
  </si>
  <si>
    <t>B0KCZPBBCT</t>
  </si>
  <si>
    <t>April 18</t>
  </si>
  <si>
    <t>MZ8TY5LR</t>
  </si>
  <si>
    <t>NV00000321863661</t>
  </si>
  <si>
    <t>OLP9694598701</t>
  </si>
  <si>
    <t>MRYLC-HS3D3</t>
  </si>
  <si>
    <t xml:space="preserve"> 313-7473569-11 </t>
  </si>
  <si>
    <t>MRYLD-HD8MN</t>
  </si>
  <si>
    <t>849519</t>
  </si>
  <si>
    <t>B0KCZPBBCV</t>
  </si>
  <si>
    <t>May 18</t>
  </si>
  <si>
    <t>SX4QP2CX</t>
  </si>
  <si>
    <t>NV00000324916205</t>
  </si>
  <si>
    <t>OLP8294671510</t>
  </si>
  <si>
    <t xml:space="preserve"> MWNVF-SWQN5 </t>
  </si>
  <si>
    <t>313-7473569-12</t>
  </si>
  <si>
    <t>MWNVB-7KJFN</t>
  </si>
  <si>
    <t xml:space="preserve"> MWNVD-JCNWQ </t>
  </si>
  <si>
    <t>60563944</t>
  </si>
  <si>
    <t>122639285431554</t>
  </si>
  <si>
    <t>506958</t>
  </si>
  <si>
    <t>June 18</t>
  </si>
  <si>
    <t>CK2RU8FD</t>
  </si>
  <si>
    <t>NV00000327680857</t>
  </si>
  <si>
    <t>OLP2904732314</t>
  </si>
  <si>
    <t>MZHMZ-5KD02</t>
  </si>
  <si>
    <t>LoganOlivia187$</t>
  </si>
  <si>
    <t>MZHNL-V3FF3</t>
  </si>
  <si>
    <t>MZHN0-GPJT0</t>
  </si>
  <si>
    <t>MZHNL-V2T7T</t>
  </si>
  <si>
    <t>61205774</t>
  </si>
  <si>
    <t>112662442264187</t>
  </si>
  <si>
    <t>18053151091820</t>
  </si>
  <si>
    <t>July 18</t>
  </si>
  <si>
    <t>SS4WV2SB</t>
  </si>
  <si>
    <t>NV00000330657326</t>
  </si>
  <si>
    <t>OLP6064815529</t>
  </si>
  <si>
    <t xml:space="preserve"> N2GTS-ZX323 </t>
  </si>
  <si>
    <t>313-7473569-14</t>
  </si>
  <si>
    <t xml:space="preserve"> N2GTQ-PYSFG </t>
  </si>
  <si>
    <t>N31FJ-KC2BH</t>
  </si>
  <si>
    <t>61859203</t>
  </si>
  <si>
    <t>132691968525166</t>
  </si>
  <si>
    <t>Aug 18</t>
  </si>
  <si>
    <t>WN8MG6RC</t>
  </si>
  <si>
    <t>OLP8084886201</t>
  </si>
  <si>
    <t xml:space="preserve"> N5KZ4-HZ9TP </t>
  </si>
  <si>
    <t>Insurance-Auto Grange - Pd 8/18/18 - 5520041</t>
  </si>
  <si>
    <t>313-7473569-15</t>
  </si>
  <si>
    <t>N5KZP-R4H37</t>
  </si>
  <si>
    <t>198802</t>
  </si>
  <si>
    <t>N5KZ5-NM8VL</t>
  </si>
  <si>
    <t>N5KZP-R3YX4</t>
  </si>
  <si>
    <t>62667181</t>
  </si>
  <si>
    <t>payoff 166644  rugs - 644507</t>
  </si>
  <si>
    <t>Sept 18</t>
  </si>
  <si>
    <t>SR3HA5ZE</t>
  </si>
  <si>
    <t>N000000336375084</t>
  </si>
  <si>
    <t>N9GBW-L2LJ0</t>
  </si>
  <si>
    <t>Feb 2019</t>
  </si>
  <si>
    <t>Netflix - Billed to PNC</t>
  </si>
  <si>
    <t xml:space="preserve"> 313-7473569-16 </t>
  </si>
  <si>
    <t>N9GC0-BQL8X</t>
  </si>
  <si>
    <t>N9GBY-P5VPJ</t>
  </si>
  <si>
    <t>63593912</t>
  </si>
  <si>
    <t>132740055710249</t>
  </si>
  <si>
    <t>Oct 18</t>
  </si>
  <si>
    <t>YJ7TH2PG</t>
  </si>
  <si>
    <t>N000000339234651</t>
  </si>
  <si>
    <t xml:space="preserve"> NDKSX-61S6K </t>
  </si>
  <si>
    <t xml:space="preserve"> 313-7473569-17</t>
  </si>
  <si>
    <t>NDKSY-GBTBR</t>
  </si>
  <si>
    <t>NDKTD-K9M8V</t>
  </si>
  <si>
    <t>64254684</t>
  </si>
  <si>
    <t>132771199762391</t>
  </si>
  <si>
    <t>BH34715764</t>
  </si>
  <si>
    <t>Nov 18</t>
  </si>
  <si>
    <t>XB2HR9YS</t>
  </si>
  <si>
    <t>NV00000341700471</t>
  </si>
  <si>
    <t xml:space="preserve"> NH6K2-0MMY8 </t>
  </si>
  <si>
    <t>Synchrony Bank (Levin)</t>
  </si>
  <si>
    <t>313-7473569-18</t>
  </si>
  <si>
    <t xml:space="preserve"> NH6K3-18F6W </t>
  </si>
  <si>
    <t>NH6JZ-GHP75</t>
  </si>
  <si>
    <t>64982250</t>
  </si>
  <si>
    <t>132799694370535</t>
  </si>
  <si>
    <t>BH36761368</t>
  </si>
  <si>
    <t>18110991344132</t>
  </si>
  <si>
    <t>Dec 18</t>
  </si>
  <si>
    <t>QQ8F28YR</t>
  </si>
  <si>
    <t>Best Buy Payment</t>
  </si>
  <si>
    <t>NV00000344887383</t>
  </si>
  <si>
    <t>NL4CQ-Y2Z40</t>
  </si>
  <si>
    <t>313-7473569-19</t>
  </si>
  <si>
    <t>NL4JL-PJZ71</t>
  </si>
  <si>
    <t>NL4CS-7DJGX</t>
  </si>
  <si>
    <t>NL4JL-PJ9G0</t>
  </si>
  <si>
    <t>65651543</t>
  </si>
  <si>
    <t>132823824010849</t>
  </si>
  <si>
    <t>BH39098547</t>
  </si>
  <si>
    <t>18120798703795</t>
  </si>
  <si>
    <t>Jan 19</t>
  </si>
  <si>
    <t>881LW2NW</t>
  </si>
  <si>
    <t>NV00000347660112</t>
  </si>
  <si>
    <t>NPL91-939GH</t>
  </si>
  <si>
    <t xml:space="preserve">current </t>
  </si>
  <si>
    <t>313-7473569-20</t>
  </si>
  <si>
    <t>drake owes</t>
  </si>
  <si>
    <t>NPL92-V2H6D</t>
  </si>
  <si>
    <t>must pay</t>
  </si>
  <si>
    <t>NQD83-1LJBW</t>
  </si>
  <si>
    <t>66240790</t>
  </si>
  <si>
    <t>BH42029214</t>
  </si>
  <si>
    <t>19010105089279</t>
  </si>
  <si>
    <t>Feb 19</t>
  </si>
  <si>
    <t>4L2QR74X</t>
  </si>
  <si>
    <t>NV00000350573014</t>
  </si>
  <si>
    <t>34W9045170855</t>
  </si>
  <si>
    <t>Insurance-Auto Grange - Pd 2/15/19 - 6019723</t>
  </si>
  <si>
    <t>313-7473569-21</t>
  </si>
  <si>
    <t>NSKF0-Y6GL4</t>
  </si>
  <si>
    <t>NT72F-MLPK5</t>
  </si>
  <si>
    <t>NSKF0-Y675C</t>
  </si>
  <si>
    <t>67125859</t>
  </si>
  <si>
    <t>112885147665308</t>
  </si>
  <si>
    <t>BH45047504</t>
  </si>
  <si>
    <t>19021518901370</t>
  </si>
  <si>
    <t>March 19</t>
  </si>
  <si>
    <t>QF1K27M1</t>
  </si>
  <si>
    <t>NV00000353115072</t>
  </si>
  <si>
    <t>NVYGP-1QZL8 / 34W9067081611</t>
  </si>
  <si>
    <t>313-7473569-22</t>
  </si>
  <si>
    <t>NXCJJ-LRXM0</t>
  </si>
  <si>
    <t>NXCJN-4QVCX</t>
  </si>
  <si>
    <t>67994761</t>
  </si>
  <si>
    <t>152897244254176</t>
  </si>
  <si>
    <t>BH47574043</t>
  </si>
  <si>
    <t>B0KCZPBBCW</t>
  </si>
  <si>
    <t>April 19</t>
  </si>
  <si>
    <t>K32R84AR</t>
  </si>
  <si>
    <t>NV00000355721035</t>
  </si>
  <si>
    <t>P06FY-R3LDJ</t>
  </si>
  <si>
    <t>313-7473569-23</t>
  </si>
  <si>
    <t>P06GL-SHN83</t>
  </si>
  <si>
    <t>P06G0-DXRC6</t>
  </si>
  <si>
    <t>P06GL-SH30Y</t>
  </si>
  <si>
    <t>68703853</t>
  </si>
  <si>
    <t>BH49810096</t>
  </si>
  <si>
    <t>May 19</t>
  </si>
  <si>
    <t>M61F12RQ</t>
  </si>
  <si>
    <t>NV00000358655898</t>
  </si>
  <si>
    <t>P34DZ-LXCFR</t>
  </si>
  <si>
    <t>313-7473569-24</t>
  </si>
  <si>
    <t>P34F1-7VPCR</t>
  </si>
  <si>
    <t>P34FF-KK964</t>
  </si>
  <si>
    <t>69405218</t>
  </si>
  <si>
    <t>122957720695151</t>
  </si>
  <si>
    <t>BH52079664</t>
  </si>
  <si>
    <t>June 19</t>
  </si>
  <si>
    <t>LQ1JH6KM</t>
  </si>
  <si>
    <t>NV00000361114592</t>
  </si>
  <si>
    <t>P5ZGG-8BHY3</t>
  </si>
  <si>
    <t>313-7473569-25</t>
  </si>
  <si>
    <t>P5ZGT-WR8L3</t>
  </si>
  <si>
    <t>P5ZGH-1858Z</t>
  </si>
  <si>
    <t>P5ZGT-WQZL2</t>
  </si>
  <si>
    <t>70082677</t>
  </si>
  <si>
    <t>152981944553450</t>
  </si>
  <si>
    <t>BH54298365</t>
  </si>
  <si>
    <t>July 19</t>
  </si>
  <si>
    <t>2434W8GN</t>
  </si>
  <si>
    <t>NV00000363558127</t>
  </si>
  <si>
    <t>P9MGG-8BCMY</t>
  </si>
  <si>
    <t>313-7473569-26</t>
  </si>
  <si>
    <t>P9MGD-JZ2SD</t>
  </si>
  <si>
    <t>P9MGW-34ZD4</t>
  </si>
  <si>
    <t>25th</t>
  </si>
  <si>
    <t>Pilot payment - American Honda</t>
  </si>
  <si>
    <t>50209387</t>
  </si>
  <si>
    <t>70816971</t>
  </si>
  <si>
    <t>123007087220883</t>
  </si>
  <si>
    <t>BH57110622 /BH57849416</t>
  </si>
  <si>
    <t>Aug 19</t>
  </si>
  <si>
    <t>7F3JM261</t>
  </si>
  <si>
    <t>NV00000366623583</t>
  </si>
  <si>
    <t>PF5DN-6323L</t>
  </si>
  <si>
    <t>313-7473569-27</t>
  </si>
  <si>
    <t>PDT54-R18N7</t>
  </si>
  <si>
    <t>PF5DP-BTD06</t>
  </si>
  <si>
    <t>PF5G8-PXG9G</t>
  </si>
  <si>
    <t>51522699</t>
  </si>
  <si>
    <t>71810200</t>
  </si>
  <si>
    <t>Feb 2020</t>
  </si>
  <si>
    <t>Insurance-Auto Grange - Due Feb 28</t>
  </si>
  <si>
    <t>143035844486386</t>
  </si>
  <si>
    <t>BH59936812</t>
  </si>
  <si>
    <t>19081664897165</t>
  </si>
  <si>
    <t>Sep 19</t>
  </si>
  <si>
    <t>NV00000369180890</t>
  </si>
  <si>
    <t>PJ09X-38CFD</t>
  </si>
  <si>
    <t>313-7473569-28</t>
  </si>
  <si>
    <t>PJ09W-8TJ59</t>
  </si>
  <si>
    <t>PJ0B3-MKKF5</t>
  </si>
  <si>
    <t>52934496</t>
  </si>
  <si>
    <t>72511965</t>
  </si>
  <si>
    <t>153060554821428</t>
  </si>
  <si>
    <t>BH62206676</t>
  </si>
  <si>
    <t>Oct 19</t>
  </si>
  <si>
    <t>8Q17U2UM</t>
  </si>
  <si>
    <t>NV00000371825612</t>
  </si>
  <si>
    <t>PM4QS-4V4KW</t>
  </si>
  <si>
    <t>313-7473569-29</t>
  </si>
  <si>
    <t>PM4RC-QK2PQ</t>
  </si>
  <si>
    <t>PM4QT-TD4QZ</t>
  </si>
  <si>
    <t>PM4RC-QJTNQ</t>
  </si>
  <si>
    <t>54103017</t>
  </si>
  <si>
    <t>73248035</t>
  </si>
  <si>
    <t>BH64819291</t>
  </si>
  <si>
    <t>Lowes</t>
  </si>
  <si>
    <t>2010934753</t>
  </si>
  <si>
    <t>Nov 19</t>
  </si>
  <si>
    <t>443W216H</t>
  </si>
  <si>
    <t>NV00000373981921</t>
  </si>
  <si>
    <t>PPS90-YTG1Z</t>
  </si>
  <si>
    <t>313-7473569-30</t>
  </si>
  <si>
    <t>PPS92-J31QK</t>
  </si>
  <si>
    <t>PPS9S-2SV1S</t>
  </si>
  <si>
    <t>55248220</t>
  </si>
  <si>
    <t>73970900</t>
  </si>
  <si>
    <t>6795516</t>
  </si>
  <si>
    <t>BH66794918</t>
  </si>
  <si>
    <t>2032759668</t>
  </si>
  <si>
    <t>19110885759432</t>
  </si>
  <si>
    <t>Dec 19</t>
  </si>
  <si>
    <t>K48UQ74G</t>
  </si>
  <si>
    <t>NV00000376417457</t>
  </si>
  <si>
    <t>8th</t>
  </si>
  <si>
    <t>PSQD9-LT9BD</t>
  </si>
  <si>
    <t>PSQF4-V727J</t>
  </si>
  <si>
    <t>PSQDC-C14MD</t>
  </si>
  <si>
    <t>PSQF4-V6P34</t>
  </si>
  <si>
    <t>56399049</t>
  </si>
  <si>
    <t>74663415</t>
  </si>
  <si>
    <t>BH69192724</t>
  </si>
  <si>
    <t>B0KCZPBBCX</t>
  </si>
  <si>
    <t>Best Buy</t>
  </si>
  <si>
    <t>2057166506</t>
  </si>
  <si>
    <t>Jan 20</t>
  </si>
  <si>
    <t>L73NK1SQ</t>
  </si>
  <si>
    <t>NV00000379600184</t>
  </si>
  <si>
    <t>PX89N-MZ5HL</t>
  </si>
  <si>
    <t>515-5060584-1</t>
  </si>
  <si>
    <t>PX89N-MXZPS</t>
  </si>
  <si>
    <t>PXXF3-01925</t>
  </si>
  <si>
    <t>57540028</t>
  </si>
  <si>
    <t>75344992</t>
  </si>
  <si>
    <t>BH73000800</t>
  </si>
  <si>
    <t>B0KCZPBBCZ</t>
  </si>
  <si>
    <t>120014081661260</t>
  </si>
  <si>
    <t>2095097178</t>
  </si>
  <si>
    <t>20011705802631</t>
  </si>
  <si>
    <t>Feb 20</t>
  </si>
  <si>
    <t>WR32G447</t>
  </si>
  <si>
    <t>NV00000382457534</t>
  </si>
  <si>
    <t>Q0T7N-9H962</t>
  </si>
  <si>
    <t>515-5060584-2</t>
  </si>
  <si>
    <t>Q03Y7-KGVXN</t>
  </si>
  <si>
    <t>Q0T7L-HY5WQ</t>
  </si>
  <si>
    <t>Q03Y7-KGDYH</t>
  </si>
  <si>
    <t>58683727</t>
  </si>
  <si>
    <t>76415367</t>
  </si>
  <si>
    <t>Insurance-Auto Grange - Paid 2/27 - 7091739</t>
  </si>
  <si>
    <t>7091739</t>
  </si>
  <si>
    <t>BH75412506</t>
  </si>
  <si>
    <t>B0KCZPBBC0 / B0KCZPBBC1</t>
  </si>
  <si>
    <t>150038294188739</t>
  </si>
  <si>
    <t>2120110579</t>
  </si>
  <si>
    <t>March 20</t>
  </si>
  <si>
    <t>GY13Y4SA</t>
  </si>
  <si>
    <t>NV00000384897194</t>
  </si>
  <si>
    <t>3rd</t>
  </si>
  <si>
    <t>Synchrony Bank (Ashley)</t>
  </si>
  <si>
    <t>Q3VCV-W15FG</t>
  </si>
  <si>
    <t>515-5060584-3</t>
  </si>
  <si>
    <t>Q3VCT-FBM8V</t>
  </si>
  <si>
    <t>Q3VD0-LRP2J</t>
  </si>
  <si>
    <t>60436948</t>
  </si>
  <si>
    <t>77173992</t>
  </si>
  <si>
    <t>Aug 2020</t>
  </si>
  <si>
    <t>BH77944771</t>
  </si>
  <si>
    <t>160062460038086</t>
  </si>
  <si>
    <t>2145793248</t>
  </si>
  <si>
    <t>April 20</t>
  </si>
  <si>
    <t>FG7ML2Q1</t>
  </si>
  <si>
    <t>NV00000387488693</t>
  </si>
  <si>
    <t>Q6PHX-TSHG0</t>
  </si>
  <si>
    <t>Q6PHP-PN4Z6</t>
  </si>
  <si>
    <t>Q6PHY-WBRLC</t>
  </si>
  <si>
    <t>Q6PHP-PMKFD</t>
  </si>
  <si>
    <t>77675387</t>
  </si>
  <si>
    <t>BH80437130</t>
  </si>
  <si>
    <t>110090994036805</t>
  </si>
  <si>
    <t>26550257</t>
  </si>
  <si>
    <t>May 20</t>
  </si>
  <si>
    <t>YF4L27U1</t>
  </si>
  <si>
    <t>NV00000389920101</t>
  </si>
  <si>
    <t>Q9JQW-5CTXG</t>
  </si>
  <si>
    <t>515-5060584-4</t>
  </si>
  <si>
    <t>Q9JRG-KM2VZ</t>
  </si>
  <si>
    <t>Q9JRG-KMMMQ</t>
  </si>
  <si>
    <t>62546535</t>
  </si>
  <si>
    <t>78655848</t>
  </si>
  <si>
    <t>BH83040315</t>
  </si>
  <si>
    <t>140110117123795</t>
  </si>
  <si>
    <t>June 20</t>
  </si>
  <si>
    <t>Y36QH6M6</t>
  </si>
  <si>
    <t>NV00000392077700</t>
  </si>
  <si>
    <t>Cleveland Clinic (CT SCAN 2 of 6)</t>
  </si>
  <si>
    <t>22000880090_-1.0</t>
  </si>
  <si>
    <t>QDGCN-SH689</t>
  </si>
  <si>
    <t>515-5060584-5</t>
  </si>
  <si>
    <t>QF24J-JGQMF</t>
  </si>
  <si>
    <t>QF24Y-W1130</t>
  </si>
  <si>
    <t>QF24J-JG601</t>
  </si>
  <si>
    <t>63568351</t>
  </si>
  <si>
    <t>79346317</t>
  </si>
  <si>
    <t>BH86788894</t>
  </si>
  <si>
    <t>160140213832432 / 6/19 140147118611003</t>
  </si>
  <si>
    <t>July 20</t>
  </si>
  <si>
    <t>132773HL</t>
  </si>
  <si>
    <t>NV00000394280892</t>
  </si>
  <si>
    <t>QJ3BM-T56NT</t>
  </si>
  <si>
    <t>515-5060584-6</t>
  </si>
  <si>
    <t>QJF1R-1JTM4</t>
  </si>
  <si>
    <t>qjjsl-lhxwg</t>
  </si>
  <si>
    <t>64721396</t>
  </si>
  <si>
    <t>80044570</t>
  </si>
  <si>
    <t>PNC Visa - Rachel</t>
  </si>
  <si>
    <t>193823 / 459941</t>
  </si>
  <si>
    <t>BH89219145</t>
  </si>
  <si>
    <t>140170850529532</t>
  </si>
  <si>
    <t>Aug 20</t>
  </si>
  <si>
    <t>MR34F1JK</t>
  </si>
  <si>
    <t>NV00000396561456</t>
  </si>
  <si>
    <t>QMGYS-1H2V2</t>
  </si>
  <si>
    <t>515-5060584-7</t>
  </si>
  <si>
    <t>QMKD6-D2HDW</t>
  </si>
  <si>
    <t>QMND2-Y4JPZ</t>
  </si>
  <si>
    <t>QMND4-TGBBH</t>
  </si>
  <si>
    <t>66290462</t>
  </si>
  <si>
    <t>81081008</t>
  </si>
  <si>
    <t>7594979</t>
  </si>
  <si>
    <t>BH91640088</t>
  </si>
  <si>
    <t>110195545303547</t>
  </si>
  <si>
    <t>Sept 20</t>
  </si>
  <si>
    <t>HK3KU21L</t>
  </si>
  <si>
    <t>NV00000398698886</t>
  </si>
  <si>
    <t>QQHC4-6YH30</t>
  </si>
  <si>
    <t>515-5060584-8</t>
  </si>
  <si>
    <t>QQHC6-BWQBQ</t>
  </si>
  <si>
    <t>QQHCC-RZLY8</t>
  </si>
  <si>
    <t>67580597</t>
  </si>
  <si>
    <t>81801630</t>
  </si>
  <si>
    <t>2/28/2021</t>
  </si>
  <si>
    <t>110219748385397</t>
  </si>
  <si>
    <t>Oct 20</t>
  </si>
  <si>
    <t>FU3RJ4WJ</t>
  </si>
  <si>
    <t>NV00000400940708</t>
  </si>
  <si>
    <t>QTF96-6G84R</t>
  </si>
  <si>
    <t>515-5060584-9</t>
  </si>
  <si>
    <t>QTF9F-ZSP4M</t>
  </si>
  <si>
    <t>QTF97-4QZ88</t>
  </si>
  <si>
    <t>QTF9F-ZRR6D</t>
  </si>
  <si>
    <t>68822378</t>
  </si>
  <si>
    <t>82566925</t>
  </si>
  <si>
    <t>BH96515416</t>
  </si>
  <si>
    <t>160243902660730</t>
  </si>
  <si>
    <t>Nov 20</t>
  </si>
  <si>
    <t>MJ6J16HK</t>
  </si>
  <si>
    <t>NV00000403294727</t>
  </si>
  <si>
    <t>34W0316114010</t>
  </si>
  <si>
    <t>515-5060584-10</t>
  </si>
  <si>
    <t>QXSF3-SDQKZ</t>
  </si>
  <si>
    <t>QXSF3-SFDNS</t>
  </si>
  <si>
    <t>70087862</t>
  </si>
  <si>
    <t>83367996</t>
  </si>
  <si>
    <t>Dec 20</t>
  </si>
  <si>
    <t>QS3JM41H</t>
  </si>
  <si>
    <t>NV00000405461804</t>
  </si>
  <si>
    <t>R06BV-PPSBG</t>
  </si>
  <si>
    <t>515-5060584-11</t>
  </si>
  <si>
    <t>R06C1-1X6R3</t>
  </si>
  <si>
    <t>R06BW-C5DF6</t>
  </si>
  <si>
    <t>R06C1-1W8LG</t>
  </si>
  <si>
    <t>71341762</t>
  </si>
  <si>
    <t>84149126</t>
  </si>
  <si>
    <t>BH101516820</t>
  </si>
  <si>
    <t>Jan 2021</t>
  </si>
  <si>
    <t>F38A6881</t>
  </si>
  <si>
    <t>NV00000407543584</t>
  </si>
  <si>
    <t>R34MC-K2QZJ</t>
  </si>
  <si>
    <t>515-5060584-12</t>
  </si>
  <si>
    <t>R4G7K-ZDBBP</t>
  </si>
  <si>
    <t>72326758</t>
  </si>
  <si>
    <t>84808206</t>
  </si>
  <si>
    <t>242959 / 437737</t>
  </si>
  <si>
    <t>831964 / 129123</t>
  </si>
  <si>
    <t>BH105689861</t>
  </si>
  <si>
    <t>21011569962856</t>
  </si>
  <si>
    <t>Feb 2021</t>
  </si>
  <si>
    <t>KY7GJ3YN</t>
  </si>
  <si>
    <t>NV00000409603711</t>
  </si>
  <si>
    <t xml:space="preserve">R76F6-YGQXC </t>
  </si>
  <si>
    <t>R76F6-YFK73</t>
  </si>
  <si>
    <t>R794T-X9J5P</t>
  </si>
  <si>
    <t>R794X-4G61R</t>
  </si>
  <si>
    <t>515-5060584-13</t>
  </si>
  <si>
    <t>73540168</t>
  </si>
  <si>
    <t>Mar 21</t>
  </si>
  <si>
    <t>8/28/2021</t>
  </si>
  <si>
    <t>86000073</t>
  </si>
  <si>
    <t>8099057</t>
  </si>
  <si>
    <t>Insurance-Auto Grange - Paid 2/26 - 8099057</t>
  </si>
  <si>
    <t>SK6QJ6AN</t>
  </si>
  <si>
    <t>NV00000411590988</t>
  </si>
  <si>
    <t>RBFJG-SHQBX</t>
  </si>
  <si>
    <t>RBFJH-HP3B7</t>
  </si>
  <si>
    <t>515-5060584-14</t>
  </si>
  <si>
    <t>RBFJP-FYFNV</t>
  </si>
  <si>
    <t>BH110973804</t>
  </si>
  <si>
    <t>75386637</t>
  </si>
  <si>
    <t>86868650</t>
  </si>
  <si>
    <t>Apr 21</t>
  </si>
  <si>
    <t>XF8NX3AJ</t>
  </si>
  <si>
    <t>NV00000413716488</t>
  </si>
  <si>
    <t>May 21</t>
  </si>
  <si>
    <t>RF8GX-4FDZC</t>
  </si>
  <si>
    <t>RF8GY-L4NFQ</t>
  </si>
  <si>
    <t>515-5060584-15</t>
  </si>
  <si>
    <t>RF8H8-274QK</t>
  </si>
  <si>
    <t>RF8H8-2661N</t>
  </si>
  <si>
    <t>BH113653827</t>
  </si>
  <si>
    <t>76676422</t>
  </si>
  <si>
    <t>87668946</t>
  </si>
  <si>
    <t>NV00000416052049</t>
  </si>
  <si>
    <t>J41236WS</t>
  </si>
  <si>
    <t>RJ6H1-HS4RD</t>
  </si>
  <si>
    <t>RJ6H2-6JX50</t>
  </si>
  <si>
    <t>RJ6H4-YW8P0</t>
  </si>
  <si>
    <t>515-5060584-16</t>
  </si>
  <si>
    <t>77893084</t>
  </si>
  <si>
    <t>88452142</t>
  </si>
  <si>
    <t>June 21</t>
  </si>
  <si>
    <t>G73MS6UN</t>
  </si>
  <si>
    <t>21052192038281</t>
  </si>
  <si>
    <t>RMCN8-J441P</t>
  </si>
  <si>
    <t>RMCNG-YZRS9</t>
  </si>
  <si>
    <t>RMCNG-Z0LP0</t>
  </si>
  <si>
    <t>515-5060584-17</t>
  </si>
  <si>
    <t>21060794698066</t>
  </si>
  <si>
    <t>BH118855479</t>
  </si>
  <si>
    <t>79078540</t>
  </si>
  <si>
    <t>89230949</t>
  </si>
  <si>
    <t>July 21</t>
  </si>
  <si>
    <t>2A4R78N4</t>
  </si>
  <si>
    <t>RR33H-R0ZCS</t>
  </si>
  <si>
    <t>515-5060584-18</t>
  </si>
  <si>
    <t>160483254664242</t>
  </si>
  <si>
    <t>Approved 013538 visa online</t>
  </si>
  <si>
    <t>80581869</t>
  </si>
  <si>
    <t>90390382</t>
  </si>
  <si>
    <t>Aug 21</t>
  </si>
  <si>
    <t>SQ4RL1XJ</t>
  </si>
  <si>
    <t>rv4dh-th51t</t>
  </si>
  <si>
    <t>rv4dh-tj4wr</t>
  </si>
  <si>
    <t>34w1227172509</t>
  </si>
  <si>
    <t>rvgwx-r48fw</t>
  </si>
  <si>
    <t>515-5060584-19</t>
  </si>
  <si>
    <t>bh124967664</t>
  </si>
  <si>
    <t xml:space="preserve">14.40 paid 8/20 </t>
  </si>
  <si>
    <t>8/12&amp;8/20</t>
  </si>
  <si>
    <t>1u6333kn</t>
  </si>
  <si>
    <t>34W1251132920</t>
  </si>
  <si>
    <t>paid in august</t>
  </si>
  <si>
    <t>bh127496521</t>
  </si>
  <si>
    <t>rydl1-xhgy4</t>
  </si>
  <si>
    <t>515-5060584-20</t>
  </si>
  <si>
    <t>013236 paid cc</t>
  </si>
  <si>
    <t>83290784</t>
  </si>
  <si>
    <t>92029090</t>
  </si>
  <si>
    <t>Oct 21</t>
  </si>
  <si>
    <t>Auto payment</t>
  </si>
  <si>
    <t>1U2YA326</t>
  </si>
  <si>
    <t>34W1281192102</t>
  </si>
  <si>
    <t>S13W3-1YB5M</t>
  </si>
  <si>
    <t>S1M7Z-HWJ6D</t>
  </si>
  <si>
    <t>BH130254456.</t>
  </si>
  <si>
    <t>515-5060584-21</t>
  </si>
  <si>
    <t>84422951</t>
  </si>
  <si>
    <t>92799969</t>
  </si>
  <si>
    <t>Nov 21</t>
  </si>
  <si>
    <t>UR6AG2J4</t>
  </si>
  <si>
    <t>34W1317081939</t>
  </si>
  <si>
    <t>515-5060584-22</t>
  </si>
  <si>
    <t>S4NH6-270RJ</t>
  </si>
  <si>
    <t>BH133006513</t>
  </si>
  <si>
    <t>18761 - on cc</t>
  </si>
  <si>
    <t>93747708</t>
  </si>
  <si>
    <t>Dec 21</t>
  </si>
  <si>
    <t>7U7G216H</t>
  </si>
  <si>
    <t>S73G4-MRVWC</t>
  </si>
  <si>
    <t>34W1343084535</t>
  </si>
  <si>
    <t>515-5060584-23</t>
  </si>
  <si>
    <t>BH136278955</t>
  </si>
  <si>
    <t>86701133</t>
  </si>
  <si>
    <t>94368637</t>
  </si>
  <si>
    <t>610618892978859</t>
  </si>
  <si>
    <t>Jan 22</t>
  </si>
  <si>
    <t>QJ4YU1NA</t>
  </si>
  <si>
    <t>34W2001122917</t>
  </si>
  <si>
    <t>515-5060584-24</t>
  </si>
  <si>
    <t>cc</t>
  </si>
  <si>
    <t>BH138969805</t>
  </si>
  <si>
    <t>cc - 014900</t>
  </si>
  <si>
    <t>620643955254894</t>
  </si>
  <si>
    <t>88284872</t>
  </si>
  <si>
    <t>95444731</t>
  </si>
  <si>
    <t>Feb 22</t>
  </si>
  <si>
    <t>WY8W2122</t>
  </si>
  <si>
    <t>SFGSG-RCPDN</t>
  </si>
  <si>
    <t>34W2042081034</t>
  </si>
  <si>
    <t>515-5060584-25</t>
  </si>
  <si>
    <t>cc - 902769647</t>
  </si>
  <si>
    <t>cc - 011380</t>
  </si>
  <si>
    <t>BH141571596</t>
  </si>
  <si>
    <t>630668138464717</t>
  </si>
  <si>
    <t>Insurance-Auto Grange - Paid 2/21/22 - 9039212</t>
  </si>
  <si>
    <t>8/28/2022</t>
  </si>
  <si>
    <t>cc- 9039212</t>
  </si>
  <si>
    <t>89467062</t>
  </si>
  <si>
    <t>Mar 22</t>
  </si>
  <si>
    <t>N63RK2AS</t>
  </si>
  <si>
    <t>34W2070081920</t>
  </si>
  <si>
    <t>515-5060584-26</t>
  </si>
  <si>
    <t>911044140 - CC</t>
  </si>
  <si>
    <t>011749 -  cc</t>
  </si>
  <si>
    <t>BH144311306</t>
  </si>
  <si>
    <t>600692332962559</t>
  </si>
  <si>
    <t>22031145577864</t>
  </si>
  <si>
    <t>90636708</t>
  </si>
  <si>
    <t>97119367</t>
  </si>
  <si>
    <t>Apr 22</t>
  </si>
  <si>
    <t>auto</t>
  </si>
  <si>
    <t>XJ4AY74L</t>
  </si>
  <si>
    <t>SM8LD-WCP0V</t>
  </si>
  <si>
    <t>34W2098075042</t>
  </si>
  <si>
    <t>515-5060584-27</t>
  </si>
  <si>
    <t>BH146987789</t>
  </si>
  <si>
    <t>600717485610300</t>
  </si>
  <si>
    <t>May 22</t>
  </si>
  <si>
    <t>97902906</t>
  </si>
  <si>
    <t>91714439</t>
  </si>
  <si>
    <t>W78WX1LG</t>
  </si>
  <si>
    <t>34W2130082751</t>
  </si>
  <si>
    <t>515-5060584-28</t>
  </si>
  <si>
    <t>06436D</t>
  </si>
  <si>
    <t>BH149743527</t>
  </si>
  <si>
    <t>Medina Fiber</t>
  </si>
  <si>
    <t>9th</t>
  </si>
  <si>
    <t>June 22</t>
  </si>
  <si>
    <t>29th</t>
  </si>
  <si>
    <t>92805995</t>
  </si>
  <si>
    <t>98709992</t>
  </si>
  <si>
    <t>U81QS8X6</t>
  </si>
  <si>
    <t>34W2154081529</t>
  </si>
  <si>
    <t>5993172099</t>
  </si>
  <si>
    <t>515-5060584-29</t>
  </si>
  <si>
    <t>SVMXD-QBC5M</t>
  </si>
  <si>
    <t>BH153159334</t>
  </si>
  <si>
    <t>07044D</t>
  </si>
  <si>
    <t>99559023</t>
  </si>
  <si>
    <t>6H4LY6U2</t>
  </si>
  <si>
    <t>6044754840</t>
  </si>
  <si>
    <t>515-5060584-30</t>
  </si>
  <si>
    <t>BH155665642</t>
  </si>
  <si>
    <t>chase Approved 00610D</t>
  </si>
  <si>
    <t>95064076</t>
  </si>
  <si>
    <t>100386093</t>
  </si>
  <si>
    <t>July 22</t>
  </si>
  <si>
    <t>Aug 22</t>
  </si>
  <si>
    <t>Insurance-Auto Grange -</t>
  </si>
  <si>
    <t>paid 152.47  - 5639774445</t>
  </si>
  <si>
    <t>auto draft</t>
  </si>
  <si>
    <t>8M73X4LH</t>
  </si>
  <si>
    <t>6101153818</t>
  </si>
  <si>
    <t>ch_3LVbd2CxFvUQhInV0ScBsAtz</t>
  </si>
  <si>
    <t>34W2224082008</t>
  </si>
  <si>
    <t>515-5060584-31</t>
  </si>
  <si>
    <t>cc- 03017D</t>
  </si>
  <si>
    <t>BH158189134</t>
  </si>
  <si>
    <t>paid on CC</t>
  </si>
  <si>
    <t>96178057</t>
  </si>
  <si>
    <t>101272113</t>
  </si>
  <si>
    <t>Sept 22</t>
  </si>
  <si>
    <t>4N47R1RL</t>
  </si>
  <si>
    <t>34W2252074345</t>
  </si>
  <si>
    <t>515-5060584-32</t>
  </si>
  <si>
    <t>BH160694756</t>
  </si>
  <si>
    <t>05635D</t>
  </si>
  <si>
    <t>6187243171</t>
  </si>
  <si>
    <t>97427174</t>
  </si>
  <si>
    <t>102261522</t>
  </si>
  <si>
    <t>Oct 22</t>
  </si>
  <si>
    <t>MG71K41R</t>
  </si>
  <si>
    <t>34W2280074249</t>
  </si>
  <si>
    <t>515-5060584-33</t>
  </si>
  <si>
    <t>cc - ch_3LqEzuCxFvUQhInV0yIg6E6X</t>
  </si>
  <si>
    <t>BH163267249</t>
  </si>
  <si>
    <t>Water-City of Medina Acct # 06459-001</t>
  </si>
  <si>
    <t>cc - 01447D</t>
  </si>
  <si>
    <t>98459492</t>
  </si>
  <si>
    <t>103091683</t>
  </si>
  <si>
    <t>Nov 22</t>
  </si>
  <si>
    <t>S42GL32H</t>
  </si>
  <si>
    <t>O5U6A3I1</t>
  </si>
  <si>
    <t>Capital One Venture</t>
  </si>
  <si>
    <t>Capitol One Quicksilver</t>
  </si>
  <si>
    <t>515-5060584-34</t>
  </si>
  <si>
    <t>BH166469825</t>
  </si>
  <si>
    <t>cc- 06045D</t>
  </si>
  <si>
    <t>99466615</t>
  </si>
  <si>
    <t>Dec 22</t>
  </si>
  <si>
    <t>104060596</t>
  </si>
  <si>
    <t>NF3QG671</t>
  </si>
  <si>
    <t>515-5060584-35</t>
  </si>
  <si>
    <t>BH169792967</t>
  </si>
  <si>
    <t>cc - 09745D</t>
  </si>
  <si>
    <t>100686363</t>
  </si>
  <si>
    <t>104816005</t>
  </si>
  <si>
    <t>Jan 23</t>
  </si>
  <si>
    <t>LA7JK3AU</t>
  </si>
  <si>
    <t>515-5060584-36</t>
  </si>
  <si>
    <t>BH172520549</t>
  </si>
  <si>
    <t>CC</t>
  </si>
  <si>
    <t>101487681</t>
  </si>
  <si>
    <t>105418159</t>
  </si>
  <si>
    <t>Feb 23</t>
  </si>
  <si>
    <t>4R44X6LG</t>
  </si>
  <si>
    <t>34W3041075701</t>
  </si>
  <si>
    <t>515-5060584-37</t>
  </si>
  <si>
    <t>ch_3MZwCnCxFvUQhInV1G9jUiXD  - paid cc</t>
  </si>
  <si>
    <t>BH175144380</t>
  </si>
  <si>
    <t xml:space="preserve">cc - </t>
  </si>
  <si>
    <t>10018657</t>
  </si>
  <si>
    <t>Mar 23</t>
  </si>
  <si>
    <t>103000271</t>
  </si>
  <si>
    <t>106561839</t>
  </si>
  <si>
    <t>FA6QS18S</t>
  </si>
  <si>
    <t>34W3069075147</t>
  </si>
  <si>
    <t>515-5060584-38</t>
  </si>
  <si>
    <t>BH177959305</t>
  </si>
  <si>
    <t>104166910</t>
  </si>
  <si>
    <t>107421535</t>
  </si>
  <si>
    <t>Apr 23</t>
  </si>
  <si>
    <t>GH62Q7UN</t>
  </si>
  <si>
    <t>00496D</t>
  </si>
  <si>
    <t>cc-ch_3MuDrbCxFvUQhInV0nmbsf4G</t>
  </si>
  <si>
    <t>BH180480184</t>
  </si>
  <si>
    <t>108315939</t>
  </si>
  <si>
    <t xml:space="preserve">104937071 </t>
  </si>
  <si>
    <t>May 23</t>
  </si>
  <si>
    <t>6Q36Q1HA</t>
  </si>
  <si>
    <t>cc-0721D</t>
  </si>
  <si>
    <t>BH183003547</t>
  </si>
  <si>
    <t>515-5060584-40 - 5/15 scheduled</t>
  </si>
  <si>
    <t>June 23</t>
  </si>
  <si>
    <t>weekly</t>
  </si>
  <si>
    <t>106283432</t>
  </si>
  <si>
    <t>108955571</t>
  </si>
  <si>
    <t>6R1FH1WY</t>
  </si>
  <si>
    <t>autobill</t>
  </si>
  <si>
    <t>cc - Reference Number: ch_3NFMscCxFvUQhInV1aiIVTfP
Invoice Number: 18448429982208600479</t>
  </si>
  <si>
    <t>34W3163090601</t>
  </si>
  <si>
    <t>601088936466167</t>
  </si>
  <si>
    <t>BH186655212</t>
  </si>
  <si>
    <t>07042D</t>
  </si>
  <si>
    <t>107333528</t>
  </si>
  <si>
    <t>July 23</t>
  </si>
  <si>
    <t>6N211177</t>
  </si>
  <si>
    <t>BH189077854</t>
  </si>
  <si>
    <t>108405945 - schedueld for 7/25</t>
  </si>
  <si>
    <t>110460225</t>
  </si>
  <si>
    <t>Aug 23</t>
  </si>
  <si>
    <t>LY28U168</t>
  </si>
  <si>
    <t>ch_3NdtaOCxFvUQhInV1DwUKucj</t>
  </si>
  <si>
    <t>34W3223073731</t>
  </si>
  <si>
    <t>10494524</t>
  </si>
  <si>
    <t>BH191464741</t>
  </si>
  <si>
    <t>Sept 23</t>
  </si>
  <si>
    <t>Feb</t>
  </si>
  <si>
    <t>110034027</t>
  </si>
  <si>
    <t>111596096</t>
  </si>
  <si>
    <t>HY36K47L</t>
  </si>
  <si>
    <t>34W3251084803</t>
  </si>
  <si>
    <t>BH193900286</t>
  </si>
  <si>
    <t>Q3Q2H2I3</t>
  </si>
  <si>
    <t>111138240</t>
  </si>
  <si>
    <t>112354033</t>
  </si>
  <si>
    <t>Oct 23</t>
  </si>
  <si>
    <t>paid 534.74 extra to escrow -3M8717XK</t>
  </si>
  <si>
    <t>34W3279075358</t>
  </si>
  <si>
    <t>BH196340807</t>
  </si>
  <si>
    <t>pd cc ch_3NyCh0CxFvUQhInV0OumKU6s</t>
  </si>
  <si>
    <t>Approved 02708D</t>
  </si>
  <si>
    <t>Akron Childrens Logans Apr 2025</t>
  </si>
  <si>
    <t>112284125</t>
  </si>
  <si>
    <t>113165163</t>
  </si>
  <si>
    <t>2Q7R14JX</t>
  </si>
  <si>
    <t>11/.3</t>
  </si>
  <si>
    <t>34W3307074746</t>
  </si>
  <si>
    <t>BH199985340</t>
  </si>
  <si>
    <t>113419184</t>
  </si>
  <si>
    <t>114137461</t>
  </si>
  <si>
    <t>Dec 23</t>
  </si>
  <si>
    <t>N24KG2M7</t>
  </si>
  <si>
    <t>34W3335070630</t>
  </si>
  <si>
    <t>ch_3OIVZHCxFvUQhInV00lM5JvI</t>
  </si>
  <si>
    <t>?</t>
  </si>
  <si>
    <t>online 06455d</t>
  </si>
  <si>
    <t>114549370</t>
  </si>
  <si>
    <t>BH202526923</t>
  </si>
  <si>
    <t>114698092</t>
  </si>
  <si>
    <t>Jan 24</t>
  </si>
  <si>
    <t>7R31F6FG</t>
  </si>
  <si>
    <t>auto to cc</t>
  </si>
  <si>
    <t>Netflix - Billed to Chase</t>
  </si>
  <si>
    <t>BH205168558</t>
  </si>
  <si>
    <t>115853554</t>
  </si>
  <si>
    <t>115621680</t>
  </si>
  <si>
    <t>Feb 24</t>
  </si>
  <si>
    <t>Akron Childrens Logans Apr 2025 - Billed to chase</t>
  </si>
  <si>
    <t>Cell Phone-Verizon -  Autopay</t>
  </si>
  <si>
    <t>KK4R773U</t>
  </si>
  <si>
    <t>ch_3OgsqBCxFvUQhInV1lWU69xl</t>
  </si>
  <si>
    <t>BH207641627</t>
  </si>
  <si>
    <t>34W4040064532</t>
  </si>
  <si>
    <t>08370D</t>
  </si>
  <si>
    <t>7270576589 / 7296967890</t>
  </si>
  <si>
    <t>1/29/2024 - 2/9</t>
  </si>
  <si>
    <t>117465149</t>
  </si>
  <si>
    <t>116618442</t>
  </si>
  <si>
    <t>10993510 - Paid with CC</t>
  </si>
  <si>
    <t>Mar 24</t>
  </si>
  <si>
    <t>Aug</t>
  </si>
  <si>
    <t>Disney Month</t>
  </si>
  <si>
    <t>R48KQ1GH</t>
  </si>
  <si>
    <t>BH210223563</t>
  </si>
  <si>
    <t>118111386</t>
  </si>
  <si>
    <t>117538541</t>
  </si>
  <si>
    <t>Apr 24</t>
  </si>
  <si>
    <t>631339467803356</t>
  </si>
  <si>
    <t>SK4LF36W</t>
  </si>
  <si>
    <t>34W4096072940</t>
  </si>
  <si>
    <t>BH212614818</t>
  </si>
  <si>
    <t>611347213499001</t>
  </si>
  <si>
    <t>paid with CC</t>
  </si>
  <si>
    <t>119908405</t>
  </si>
  <si>
    <t>118190942</t>
  </si>
  <si>
    <t>May 24</t>
  </si>
  <si>
    <t>34W4124065251</t>
  </si>
  <si>
    <t>BH216122625</t>
  </si>
  <si>
    <t>611383478994048</t>
  </si>
  <si>
    <t>121133199</t>
  </si>
  <si>
    <t>118931364</t>
  </si>
  <si>
    <t>June 24</t>
  </si>
  <si>
    <t>3K3AK2QJ</t>
  </si>
  <si>
    <r>
      <t>cc -</t>
    </r>
    <r>
      <rPr>
        <b/>
        <sz val="10"/>
        <color rgb="FF000000"/>
        <rFont val="Calibri"/>
        <family val="2"/>
      </rPr>
      <t>ch_3POKqyCxFvUQhInV0QNk8qBJ</t>
    </r>
  </si>
  <si>
    <t>R054Y071</t>
  </si>
  <si>
    <t>BH218381003</t>
  </si>
  <si>
    <t>611407721872767</t>
  </si>
  <si>
    <t>122323504</t>
  </si>
  <si>
    <t>July 24</t>
  </si>
  <si>
    <t>119977431</t>
  </si>
  <si>
    <t>614K727K</t>
  </si>
  <si>
    <t>R466U352</t>
  </si>
  <si>
    <t>34W4194063403</t>
  </si>
  <si>
    <t>BH220693755</t>
  </si>
  <si>
    <t>621431849588906</t>
  </si>
  <si>
    <t>05109D</t>
  </si>
  <si>
    <t>124118026</t>
  </si>
  <si>
    <t>120722076</t>
  </si>
  <si>
    <t>Aug 24</t>
  </si>
  <si>
    <t>FQ2367RS</t>
  </si>
  <si>
    <t>R576F5J1</t>
  </si>
  <si>
    <t>34W4222064641</t>
  </si>
  <si>
    <t>ch_3PlqMkCxFvUQhInV0AKMIWs1</t>
  </si>
  <si>
    <t>BH222979238</t>
  </si>
  <si>
    <t>631456051513715</t>
  </si>
  <si>
    <t>125413375</t>
  </si>
  <si>
    <t>121438373</t>
  </si>
  <si>
    <t>Sept 24</t>
  </si>
  <si>
    <t>cc - 200139276680</t>
  </si>
  <si>
    <t>QN83M1J4</t>
  </si>
  <si>
    <t>601480260975923</t>
  </si>
  <si>
    <t>BH225269637</t>
  </si>
  <si>
    <t>34W4250072528</t>
  </si>
  <si>
    <t>Oct 24</t>
  </si>
  <si>
    <t>441LY8XU</t>
  </si>
  <si>
    <t>BH227617011</t>
  </si>
  <si>
    <t>R596S264</t>
  </si>
  <si>
    <t>621515833181067</t>
  </si>
  <si>
    <t>127977421</t>
  </si>
  <si>
    <t>123061374</t>
  </si>
  <si>
    <t>Nov 24</t>
  </si>
  <si>
    <t>auto pay</t>
  </si>
  <si>
    <t>S66M88XF</t>
  </si>
  <si>
    <t>15th</t>
  </si>
  <si>
    <t>129176593</t>
  </si>
  <si>
    <t>BH231011471</t>
  </si>
  <si>
    <t>R1U4J3J0</t>
  </si>
  <si>
    <t>631539945659475</t>
  </si>
  <si>
    <t>Dec 24</t>
  </si>
  <si>
    <t>RN2AM4NA</t>
  </si>
  <si>
    <t xml:space="preserve">R5X7I134 </t>
  </si>
  <si>
    <t>BH233597709</t>
  </si>
  <si>
    <t>611564920607163</t>
  </si>
  <si>
    <t>130532384</t>
  </si>
  <si>
    <t>Q88R72FS</t>
  </si>
  <si>
    <t>Jan 25</t>
  </si>
  <si>
    <t>34W5010072355</t>
  </si>
  <si>
    <t>BH236097413</t>
  </si>
  <si>
    <t>S206S3I0</t>
  </si>
  <si>
    <t>S207S0I7</t>
  </si>
  <si>
    <t>621589129377646</t>
  </si>
  <si>
    <t>Feb 25</t>
  </si>
  <si>
    <t>JG22W1FK</t>
  </si>
  <si>
    <t>6884687 - 8227831</t>
  </si>
  <si>
    <t>34W5038064754</t>
  </si>
  <si>
    <t>cc - ch_3Qpq4BCxFvUQhInV1qNzdTdv</t>
  </si>
  <si>
    <t>133140707</t>
  </si>
  <si>
    <t>631613302405859</t>
  </si>
  <si>
    <t>S4F5O231</t>
  </si>
  <si>
    <t>cc - 200211974215</t>
  </si>
  <si>
    <t>Mar 25</t>
  </si>
  <si>
    <t>Oct</t>
  </si>
  <si>
    <t>A113W1S2 - scheduled 2/28</t>
  </si>
  <si>
    <t>BH240978754</t>
  </si>
  <si>
    <t>34W5066072928</t>
  </si>
  <si>
    <t>Apr 25</t>
  </si>
  <si>
    <t>135269926</t>
  </si>
  <si>
    <t>WY4JJ67U</t>
  </si>
  <si>
    <t>34W5094072930</t>
  </si>
  <si>
    <t>cc ch_3RA8TJCxFvUQhInV1HLoNAAl</t>
  </si>
  <si>
    <t xml:space="preserve">cc </t>
  </si>
  <si>
    <t>May 25</t>
  </si>
  <si>
    <t>136620302</t>
  </si>
  <si>
    <t>6W7473UM</t>
  </si>
  <si>
    <t>34W5126091147</t>
  </si>
  <si>
    <t>scheduled 5/15 - 137492441</t>
  </si>
  <si>
    <t>138008125</t>
  </si>
  <si>
    <t>June 25</t>
  </si>
  <si>
    <t>AW1UW3YL</t>
  </si>
  <si>
    <t>ch_3RXqAICxFvUQhInV059oVdaP</t>
  </si>
  <si>
    <t>34W5164061010</t>
  </si>
  <si>
    <t>S153Y037</t>
  </si>
  <si>
    <t>S153Y339</t>
  </si>
  <si>
    <t>July 25</t>
  </si>
  <si>
    <t>139340492</t>
  </si>
  <si>
    <t>A83X24K1</t>
  </si>
  <si>
    <t>34W5192074631</t>
  </si>
  <si>
    <t>S562W4I0</t>
  </si>
  <si>
    <t>S563W4I6</t>
  </si>
  <si>
    <t>gpay</t>
  </si>
  <si>
    <t>8533577425 /8554293047</t>
  </si>
  <si>
    <t>141171067</t>
  </si>
  <si>
    <t>Aug 25</t>
  </si>
  <si>
    <t>S13WA84R</t>
  </si>
  <si>
    <t>34W5220081555</t>
  </si>
  <si>
    <t>142414360</t>
  </si>
  <si>
    <t>200299055172</t>
  </si>
  <si>
    <t>Sept 25</t>
  </si>
  <si>
    <t>cc- 5706823</t>
  </si>
  <si>
    <t>LX6F462L</t>
  </si>
  <si>
    <t>34W5255075811</t>
  </si>
  <si>
    <t>S3Q4F4I4</t>
  </si>
  <si>
    <t>S3Q5F5I0</t>
  </si>
  <si>
    <t>144124188</t>
  </si>
  <si>
    <t>Oct 25</t>
  </si>
  <si>
    <t>M73KK6KX</t>
  </si>
  <si>
    <t>34W5286073801</t>
  </si>
  <si>
    <t>145299731</t>
  </si>
  <si>
    <t>S4R8F5I9</t>
  </si>
  <si>
    <t>Nov 25</t>
  </si>
  <si>
    <t>autopay</t>
  </si>
  <si>
    <t>Omni Fiber</t>
  </si>
  <si>
    <t>S4R7F0I4 / S4S7I1I6</t>
  </si>
  <si>
    <t>HM2QU37M</t>
  </si>
  <si>
    <t>34W5304075338</t>
  </si>
  <si>
    <t>Dec 25</t>
  </si>
  <si>
    <t>S0S3Y3L9</t>
  </si>
  <si>
    <t>S0S5Y2L5</t>
  </si>
  <si>
    <t>146858201</t>
  </si>
  <si>
    <t>Autopay</t>
  </si>
  <si>
    <t>Electric-Ohio Edison/First Energy - Autopay CC</t>
  </si>
  <si>
    <t>Omni Fiber - Autopay CC</t>
  </si>
  <si>
    <t>246H742H</t>
  </si>
  <si>
    <t>ch_3SaGbPCxFvUQhInV1KHMU3Rs</t>
  </si>
  <si>
    <t>34W5348095452</t>
  </si>
  <si>
    <t>148354794</t>
  </si>
  <si>
    <t>Jan 26</t>
  </si>
  <si>
    <r>
      <t xml:space="preserve">Cell Phone-Verizon -  </t>
    </r>
    <r>
      <rPr>
        <sz val="10"/>
        <color theme="5"/>
        <rFont val="Arial"/>
        <family val="2"/>
      </rPr>
      <t>Autopay</t>
    </r>
  </si>
  <si>
    <r>
      <t xml:space="preserve">Electric-Ohio Edison/First Energy - </t>
    </r>
    <r>
      <rPr>
        <sz val="10"/>
        <color theme="5"/>
        <rFont val="Arial"/>
        <family val="2"/>
      </rPr>
      <t>Autopay CC</t>
    </r>
  </si>
  <si>
    <r>
      <t xml:space="preserve">Omni Fiber - </t>
    </r>
    <r>
      <rPr>
        <sz val="10"/>
        <color theme="5"/>
        <rFont val="Arial"/>
        <family val="2"/>
      </rPr>
      <t>Autopay CC</t>
    </r>
  </si>
  <si>
    <t>FU3HY17X</t>
  </si>
  <si>
    <t>34W6009071302</t>
  </si>
  <si>
    <t>149875659</t>
  </si>
  <si>
    <t>Feb 26</t>
  </si>
  <si>
    <t>1Y1FY8JM</t>
  </si>
  <si>
    <t>34W6043070205</t>
  </si>
  <si>
    <t>151270820</t>
  </si>
  <si>
    <t>U4F8A273</t>
  </si>
  <si>
    <t>U4F9A471</t>
  </si>
  <si>
    <r>
      <t xml:space="preserve">Sewer and Garbage-Medina Co. Sanitation -  </t>
    </r>
    <r>
      <rPr>
        <sz val="10"/>
        <color theme="5" tint="-0.249977111117893"/>
        <rFont val="Arial"/>
        <family val="2"/>
      </rPr>
      <t>Autopay CC</t>
    </r>
  </si>
  <si>
    <t>U1F7L040</t>
  </si>
  <si>
    <t>Y11J216A</t>
  </si>
  <si>
    <t>34W6071071408</t>
  </si>
  <si>
    <t>152773607</t>
  </si>
  <si>
    <t>Apr 26</t>
  </si>
  <si>
    <t>Mar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</si>
</sst>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\$* #,##0.00_);_(\$* \(#,##0.00\);_(\$* \-??_);_(@_)"/>
    <numFmt numFmtId="165" formatCode="[$-409]m/d/yyyy"/>
    <numFmt numFmtId="166" formatCode="_(* #,##0.00_);_(* \(#,##0.00\);_(* \-??_);_(@_)"/>
    <numFmt numFmtId="167" formatCode="[$-409]d\-mmm"/>
    <numFmt numFmtId="168" formatCode="m/d/yy;@"/>
  </numFmts>
  <fonts count="62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6"/>
      <color rgb="FF000000"/>
      <name val="Arial"/>
      <family val="2"/>
      <charset val="1"/>
    </font>
    <font>
      <b/>
      <u/>
      <sz val="14"/>
      <color rgb="FF000000"/>
      <name val="Arial"/>
      <family val="2"/>
      <charset val="1"/>
    </font>
    <font>
      <b/>
      <u/>
      <sz val="14"/>
      <name val="Arial"/>
      <family val="2"/>
      <charset val="1"/>
    </font>
    <font>
      <b/>
      <u/>
      <sz val="8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3B3B3B"/>
      <name val="Verdana"/>
      <family val="2"/>
      <charset val="1"/>
    </font>
    <font>
      <sz val="8"/>
      <name val="Arial"/>
      <family val="2"/>
      <charset val="1"/>
    </font>
    <font>
      <b/>
      <sz val="10"/>
      <color rgb="FF66666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sz val="12"/>
      <color rgb="FF990000"/>
      <name val="Arial"/>
      <family val="2"/>
      <charset val="1"/>
    </font>
    <font>
      <sz val="10"/>
      <color rgb="FF000000"/>
      <name val="Inherit"/>
      <charset val="1"/>
    </font>
    <font>
      <b/>
      <sz val="10"/>
      <color rgb="FFC00000"/>
      <name val="Arial"/>
      <family val="2"/>
      <charset val="1"/>
    </font>
    <font>
      <sz val="10"/>
      <color rgb="FF008000"/>
      <name val="Arial"/>
      <family val="2"/>
      <charset val="1"/>
    </font>
    <font>
      <u/>
      <sz val="11"/>
      <color rgb="FF0000FF"/>
      <name val="Calibri"/>
      <family val="2"/>
      <charset val="1"/>
    </font>
    <font>
      <sz val="11"/>
      <color rgb="FF3B3B3B"/>
      <name val="Verdana"/>
      <family val="2"/>
      <charset val="1"/>
    </font>
    <font>
      <b/>
      <sz val="9"/>
      <color rgb="FF666666"/>
      <name val="Arial"/>
      <family val="2"/>
      <charset val="1"/>
    </font>
    <font>
      <b/>
      <sz val="11"/>
      <color rgb="FF444444"/>
      <name val="Arial"/>
      <family val="2"/>
      <charset val="1"/>
    </font>
    <font>
      <sz val="10"/>
      <color rgb="FF000000"/>
      <name val="Arial"/>
      <family val="2"/>
    </font>
    <font>
      <sz val="9"/>
      <color rgb="FF000000"/>
      <name val="Calibri"/>
      <family val="2"/>
      <charset val="1"/>
    </font>
    <font>
      <sz val="11"/>
      <color rgb="FF000000"/>
      <name val="Inherit"/>
      <charset val="1"/>
    </font>
    <font>
      <sz val="11"/>
      <color rgb="FF444444"/>
      <name val="Arial"/>
      <family val="2"/>
      <charset val="1"/>
    </font>
    <font>
      <b/>
      <sz val="10"/>
      <color rgb="FFFF0000"/>
      <name val="Arial"/>
      <family val="2"/>
      <charset val="1"/>
    </font>
    <font>
      <sz val="9"/>
      <name val="Arial"/>
      <family val="2"/>
      <charset val="1"/>
    </font>
    <font>
      <sz val="9"/>
      <color rgb="FF212121"/>
      <name val="Arial"/>
      <family val="2"/>
      <charset val="1"/>
    </font>
    <font>
      <sz val="11"/>
      <color rgb="FF222222"/>
      <name val="Arial"/>
      <family val="2"/>
      <charset val="1"/>
    </font>
    <font>
      <sz val="8"/>
      <color rgb="FF000000"/>
      <name val="Arial"/>
      <family val="2"/>
      <charset val="1"/>
    </font>
    <font>
      <sz val="12"/>
      <color rgb="FF333333"/>
      <name val="Arial"/>
      <family val="2"/>
      <charset val="1"/>
    </font>
    <font>
      <sz val="10"/>
      <color rgb="FF000000"/>
      <name val="Calibri"/>
      <family val="2"/>
      <charset val="1"/>
    </font>
    <font>
      <b/>
      <u/>
      <sz val="10"/>
      <name val="Arial"/>
      <family val="2"/>
      <charset val="1"/>
    </font>
    <font>
      <sz val="10"/>
      <name val="Calibri"/>
      <family val="2"/>
      <charset val="1"/>
    </font>
    <font>
      <sz val="11"/>
      <color rgb="FF333333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2"/>
      <color rgb="FF212529"/>
      <name val="Segoe UI"/>
      <family val="2"/>
    </font>
    <font>
      <sz val="11"/>
      <color rgb="FF000000"/>
      <name val="Arial"/>
      <family val="2"/>
    </font>
    <font>
      <sz val="11"/>
      <color rgb="FF212121"/>
      <name val="Arial"/>
      <family val="2"/>
    </font>
    <font>
      <b/>
      <sz val="12"/>
      <color rgb="FF666666"/>
      <name val="SynchronySans"/>
    </font>
    <font>
      <sz val="11"/>
      <color rgb="FF26333A"/>
      <name val="Arial"/>
      <family val="2"/>
    </font>
    <font>
      <sz val="8"/>
      <color rgb="FF000000"/>
      <name val="Arial"/>
      <family val="2"/>
    </font>
    <font>
      <sz val="11"/>
      <color rgb="FF333333"/>
      <name val="Arial"/>
      <family val="2"/>
    </font>
    <font>
      <sz val="10"/>
      <name val="Arial"/>
      <family val="2"/>
    </font>
    <font>
      <sz val="12"/>
      <color rgb="FF333333"/>
      <name val="Arial"/>
      <family val="2"/>
    </font>
    <font>
      <sz val="11"/>
      <color rgb="FF414042"/>
      <name val="Open Sans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2"/>
      <color rgb="FF1C1B1A"/>
      <name val="Arial"/>
      <family val="2"/>
    </font>
    <font>
      <b/>
      <sz val="10"/>
      <color rgb="FF000000"/>
      <name val="Calibri"/>
      <family val="2"/>
    </font>
    <font>
      <sz val="14"/>
      <color rgb="FF128020"/>
      <name val="Arial"/>
      <family val="2"/>
    </font>
    <font>
      <sz val="12"/>
      <color rgb="FF0A0A0A"/>
      <name val="Arial"/>
      <family val="2"/>
    </font>
    <font>
      <sz val="14"/>
      <color rgb="FF1C1B1A"/>
      <name val="Arial"/>
      <family val="2"/>
    </font>
    <font>
      <sz val="10"/>
      <color rgb="FF1C1B1A"/>
      <name val="Arial"/>
      <family val="2"/>
    </font>
    <font>
      <sz val="11"/>
      <name val="Calibri"/>
      <family val="2"/>
      <scheme val="minor"/>
    </font>
    <font>
      <sz val="11"/>
      <color rgb="FF0F171F"/>
      <name val="Open Sans"/>
      <family val="2"/>
    </font>
    <font>
      <sz val="10"/>
      <color theme="5"/>
      <name val="Arial"/>
      <family val="2"/>
    </font>
    <font>
      <sz val="11"/>
      <color rgb="FF545454"/>
      <name val="WntlText"/>
    </font>
    <font>
      <sz val="12"/>
      <color rgb="FF6A6A6A"/>
      <name val="Arial"/>
      <family val="2"/>
    </font>
    <font>
      <sz val="10"/>
      <color theme="5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4">
    <xf numFmtId="0" fontId="0" fillId="0" borderId="0"/>
    <xf numFmtId="0" fontId="18" fillId="0" borderId="0" applyBorder="0" applyProtection="0"/>
    <xf numFmtId="164" fontId="37" fillId="0" borderId="0" applyBorder="0" applyProtection="0"/>
    <xf numFmtId="0" fontId="1" fillId="0" borderId="0"/>
  </cellStyleXfs>
  <cellXfs count="116">
    <xf numFmtId="0" fontId="0" fillId="0" borderId="0" xfId="0"/>
    <xf numFmtId="0" fontId="1" fillId="0" borderId="0" xfId="3"/>
    <xf numFmtId="165" fontId="3" fillId="0" borderId="0" xfId="3" applyNumberFormat="1" applyFont="1"/>
    <xf numFmtId="0" fontId="4" fillId="0" borderId="0" xfId="3" applyFont="1"/>
    <xf numFmtId="166" fontId="5" fillId="0" borderId="0" xfId="3" applyNumberFormat="1" applyFont="1" applyAlignment="1">
      <alignment horizontal="center" wrapText="1"/>
    </xf>
    <xf numFmtId="49" fontId="4" fillId="0" borderId="0" xfId="3" applyNumberFormat="1" applyFont="1"/>
    <xf numFmtId="165" fontId="6" fillId="0" borderId="0" xfId="3" applyNumberFormat="1" applyFont="1"/>
    <xf numFmtId="0" fontId="6" fillId="0" borderId="0" xfId="3" applyFont="1"/>
    <xf numFmtId="4" fontId="1" fillId="0" borderId="0" xfId="3" applyNumberFormat="1"/>
    <xf numFmtId="166" fontId="7" fillId="0" borderId="0" xfId="3" applyNumberFormat="1" applyFont="1"/>
    <xf numFmtId="49" fontId="8" fillId="0" borderId="0" xfId="3" applyNumberFormat="1" applyFont="1"/>
    <xf numFmtId="0" fontId="7" fillId="0" borderId="0" xfId="3" applyFont="1"/>
    <xf numFmtId="166" fontId="1" fillId="0" borderId="0" xfId="3" applyNumberFormat="1"/>
    <xf numFmtId="49" fontId="9" fillId="0" borderId="0" xfId="3" applyNumberFormat="1" applyFont="1"/>
    <xf numFmtId="49" fontId="1" fillId="0" borderId="0" xfId="3" applyNumberFormat="1" applyAlignment="1">
      <alignment wrapText="1"/>
    </xf>
    <xf numFmtId="49" fontId="10" fillId="0" borderId="0" xfId="3" applyNumberFormat="1" applyFont="1"/>
    <xf numFmtId="166" fontId="6" fillId="0" borderId="0" xfId="3" applyNumberFormat="1" applyFont="1"/>
    <xf numFmtId="49" fontId="6" fillId="0" borderId="0" xfId="3" applyNumberFormat="1" applyFont="1"/>
    <xf numFmtId="49" fontId="1" fillId="0" borderId="0" xfId="3" applyNumberFormat="1"/>
    <xf numFmtId="49" fontId="7" fillId="0" borderId="0" xfId="3" applyNumberFormat="1" applyFont="1"/>
    <xf numFmtId="4" fontId="7" fillId="0" borderId="0" xfId="3" applyNumberFormat="1" applyFont="1"/>
    <xf numFmtId="49" fontId="11" fillId="0" borderId="0" xfId="3" applyNumberFormat="1" applyFont="1"/>
    <xf numFmtId="0" fontId="12" fillId="0" borderId="0" xfId="3" applyFont="1"/>
    <xf numFmtId="166" fontId="12" fillId="0" borderId="0" xfId="3" applyNumberFormat="1" applyFont="1"/>
    <xf numFmtId="49" fontId="13" fillId="0" borderId="0" xfId="3" applyNumberFormat="1" applyFont="1"/>
    <xf numFmtId="49" fontId="14" fillId="0" borderId="0" xfId="3" applyNumberFormat="1" applyFont="1"/>
    <xf numFmtId="49" fontId="12" fillId="0" borderId="0" xfId="3" applyNumberFormat="1" applyFont="1"/>
    <xf numFmtId="49" fontId="15" fillId="0" borderId="0" xfId="3" applyNumberFormat="1" applyFont="1"/>
    <xf numFmtId="166" fontId="16" fillId="0" borderId="0" xfId="3" applyNumberFormat="1" applyFont="1"/>
    <xf numFmtId="0" fontId="17" fillId="0" borderId="0" xfId="3" applyFont="1"/>
    <xf numFmtId="166" fontId="17" fillId="0" borderId="0" xfId="3" applyNumberFormat="1" applyFont="1"/>
    <xf numFmtId="49" fontId="17" fillId="0" borderId="0" xfId="3" applyNumberFormat="1" applyFont="1"/>
    <xf numFmtId="164" fontId="1" fillId="0" borderId="0" xfId="3" applyNumberFormat="1"/>
    <xf numFmtId="0" fontId="1" fillId="0" borderId="0" xfId="3" applyAlignment="1">
      <alignment horizontal="right"/>
    </xf>
    <xf numFmtId="164" fontId="1" fillId="0" borderId="0" xfId="2" applyFont="1" applyBorder="1" applyAlignment="1" applyProtection="1">
      <alignment horizontal="center"/>
    </xf>
    <xf numFmtId="0" fontId="18" fillId="0" borderId="0" xfId="1" applyBorder="1" applyProtection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6" fillId="0" borderId="0" xfId="0" applyFont="1"/>
    <xf numFmtId="165" fontId="6" fillId="2" borderId="0" xfId="3" applyNumberFormat="1" applyFont="1" applyFill="1"/>
    <xf numFmtId="0" fontId="6" fillId="0" borderId="0" xfId="0" applyFont="1" applyAlignment="1">
      <alignment wrapText="1"/>
    </xf>
    <xf numFmtId="167" fontId="0" fillId="0" borderId="0" xfId="0" applyNumberFormat="1"/>
    <xf numFmtId="0" fontId="23" fillId="0" borderId="0" xfId="0" applyFont="1"/>
    <xf numFmtId="0" fontId="24" fillId="0" borderId="0" xfId="0" applyFont="1"/>
    <xf numFmtId="0" fontId="25" fillId="0" borderId="0" xfId="0" applyFont="1"/>
    <xf numFmtId="49" fontId="26" fillId="0" borderId="0" xfId="3" applyNumberFormat="1" applyFont="1"/>
    <xf numFmtId="4" fontId="23" fillId="0" borderId="1" xfId="0" applyNumberFormat="1" applyFont="1" applyBorder="1"/>
    <xf numFmtId="49" fontId="27" fillId="0" borderId="0" xfId="3" applyNumberFormat="1" applyFont="1"/>
    <xf numFmtId="0" fontId="28" fillId="0" borderId="0" xfId="0" applyFont="1"/>
    <xf numFmtId="168" fontId="6" fillId="0" borderId="0" xfId="3" applyNumberFormat="1" applyFont="1"/>
    <xf numFmtId="168" fontId="1" fillId="0" borderId="0" xfId="3" applyNumberFormat="1"/>
    <xf numFmtId="168" fontId="0" fillId="0" borderId="0" xfId="0" applyNumberFormat="1"/>
    <xf numFmtId="0" fontId="29" fillId="0" borderId="0" xfId="0" applyFont="1"/>
    <xf numFmtId="0" fontId="30" fillId="0" borderId="0" xfId="0" applyFont="1"/>
    <xf numFmtId="167" fontId="6" fillId="0" borderId="0" xfId="3" applyNumberFormat="1" applyFont="1"/>
    <xf numFmtId="49" fontId="0" fillId="0" borderId="0" xfId="0" applyNumberFormat="1"/>
    <xf numFmtId="1" fontId="31" fillId="0" borderId="0" xfId="0" applyNumberFormat="1" applyFont="1"/>
    <xf numFmtId="0" fontId="31" fillId="0" borderId="0" xfId="0" applyFont="1"/>
    <xf numFmtId="0" fontId="32" fillId="0" borderId="0" xfId="0" applyFont="1" applyAlignment="1">
      <alignment horizontal="left"/>
    </xf>
    <xf numFmtId="0" fontId="1" fillId="0" borderId="0" xfId="3" applyAlignment="1">
      <alignment horizontal="left"/>
    </xf>
    <xf numFmtId="49" fontId="33" fillId="0" borderId="0" xfId="3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0" xfId="3" applyNumberFormat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/>
    <xf numFmtId="167" fontId="1" fillId="0" borderId="0" xfId="3" applyNumberFormat="1"/>
    <xf numFmtId="0" fontId="36" fillId="0" borderId="0" xfId="0" applyFont="1"/>
    <xf numFmtId="4" fontId="23" fillId="0" borderId="0" xfId="0" applyNumberFormat="1" applyFont="1"/>
    <xf numFmtId="168" fontId="6" fillId="2" borderId="0" xfId="3" applyNumberFormat="1" applyFont="1" applyFill="1"/>
    <xf numFmtId="0" fontId="8" fillId="0" borderId="0" xfId="0" applyFont="1"/>
    <xf numFmtId="0" fontId="36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7" fontId="6" fillId="0" borderId="0" xfId="3" quotePrefix="1" applyNumberFormat="1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16" fontId="0" fillId="0" borderId="0" xfId="0" applyNumberFormat="1"/>
    <xf numFmtId="165" fontId="2" fillId="0" borderId="0" xfId="3" applyNumberFormat="1" applyFont="1" applyAlignment="1">
      <alignment horizontal="center"/>
    </xf>
    <xf numFmtId="165" fontId="2" fillId="0" borderId="0" xfId="3" quotePrefix="1" applyNumberFormat="1" applyFont="1" applyAlignment="1">
      <alignment horizontal="center"/>
    </xf>
    <xf numFmtId="0" fontId="45" fillId="0" borderId="0" xfId="3" applyFont="1"/>
    <xf numFmtId="0" fontId="46" fillId="0" borderId="0" xfId="0" applyFont="1"/>
    <xf numFmtId="0" fontId="47" fillId="0" borderId="0" xfId="0" applyFont="1"/>
    <xf numFmtId="43" fontId="1" fillId="0" borderId="0" xfId="3" applyNumberFormat="1"/>
    <xf numFmtId="43" fontId="0" fillId="0" borderId="0" xfId="0" applyNumberFormat="1"/>
    <xf numFmtId="0" fontId="32" fillId="0" borderId="0" xfId="0" applyFont="1" applyAlignment="1">
      <alignment horizontal="left" wrapText="1"/>
    </xf>
    <xf numFmtId="0" fontId="48" fillId="0" borderId="0" xfId="3" applyFont="1"/>
    <xf numFmtId="168" fontId="1" fillId="3" borderId="0" xfId="3" applyNumberFormat="1" applyFill="1"/>
    <xf numFmtId="4" fontId="6" fillId="0" borderId="0" xfId="3" applyNumberFormat="1" applyFont="1"/>
    <xf numFmtId="167" fontId="49" fillId="0" borderId="0" xfId="3" quotePrefix="1" applyNumberFormat="1" applyFont="1"/>
    <xf numFmtId="9" fontId="1" fillId="0" borderId="0" xfId="3" applyNumberFormat="1"/>
    <xf numFmtId="0" fontId="50" fillId="0" borderId="0" xfId="0" applyFont="1"/>
    <xf numFmtId="49" fontId="1" fillId="0" borderId="0" xfId="3" applyNumberFormat="1" applyAlignment="1">
      <alignment horizontal="left" wrapText="1"/>
    </xf>
    <xf numFmtId="0" fontId="52" fillId="0" borderId="0" xfId="0" applyFont="1"/>
    <xf numFmtId="0" fontId="53" fillId="0" borderId="0" xfId="0" applyFont="1"/>
    <xf numFmtId="0" fontId="54" fillId="0" borderId="0" xfId="0" applyFont="1"/>
    <xf numFmtId="9" fontId="0" fillId="0" borderId="0" xfId="0" applyNumberFormat="1"/>
    <xf numFmtId="0" fontId="55" fillId="0" borderId="0" xfId="0" applyFont="1"/>
    <xf numFmtId="0" fontId="56" fillId="0" borderId="0" xfId="0" applyFont="1" applyAlignment="1">
      <alignment horizontal="left" wrapText="1"/>
    </xf>
    <xf numFmtId="49" fontId="56" fillId="0" borderId="0" xfId="3" applyNumberFormat="1" applyFont="1" applyAlignment="1">
      <alignment horizontal="left" wrapText="1"/>
    </xf>
    <xf numFmtId="49" fontId="56" fillId="0" borderId="0" xfId="3" applyNumberFormat="1" applyFont="1" applyAlignment="1">
      <alignment horizontal="left"/>
    </xf>
    <xf numFmtId="0" fontId="56" fillId="0" borderId="0" xfId="3" applyFont="1" applyAlignment="1">
      <alignment horizontal="left"/>
    </xf>
    <xf numFmtId="0" fontId="56" fillId="0" borderId="0" xfId="0" applyFont="1" applyAlignment="1">
      <alignment horizontal="left"/>
    </xf>
    <xf numFmtId="0" fontId="57" fillId="0" borderId="0" xfId="0" applyFont="1"/>
    <xf numFmtId="0" fontId="59" fillId="0" borderId="0" xfId="0" applyFont="1"/>
    <xf numFmtId="0" fontId="60" fillId="0" borderId="0" xfId="0" applyFont="1"/>
    <xf numFmtId="165" fontId="2" fillId="0" borderId="0" xfId="3" applyNumberFormat="1" applyFont="1" applyAlignment="1">
      <alignment horizontal="center"/>
    </xf>
    <xf numFmtId="165" fontId="2" fillId="0" borderId="0" xfId="3" quotePrefix="1" applyNumberFormat="1" applyFont="1" applyAlignment="1">
      <alignment horizontal="center"/>
    </xf>
  </cellXfs>
  <cellStyles count="4">
    <cellStyle name="Currency 2" xfId="2" xr:uid="{00000000-0005-0000-0000-000000000000}"/>
    <cellStyle name="Hyperlink" xfId="1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444444"/>
      <rgbColor rgb="FF339966"/>
      <rgbColor rgb="FF212121"/>
      <rgbColor rgb="FF222222"/>
      <rgbColor rgb="FF993300"/>
      <rgbColor rgb="FF993366"/>
      <rgbColor rgb="FF3B3B3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5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opLeftCell="AMJ13"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0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41641</v>
      </c>
      <c r="B3" s="7" t="s">
        <v>6</v>
      </c>
      <c r="C3" s="1" t="s">
        <v>7</v>
      </c>
      <c r="D3" s="8">
        <v>881.5</v>
      </c>
      <c r="E3" s="9"/>
      <c r="F3" s="10" t="s">
        <v>8</v>
      </c>
      <c r="G3" s="11"/>
      <c r="H3" s="11"/>
      <c r="I3" s="11"/>
      <c r="J3" s="11"/>
      <c r="K3" s="11"/>
      <c r="L3" s="11"/>
      <c r="M3" s="11"/>
      <c r="N3" s="11"/>
    </row>
    <row r="4" spans="1:14">
      <c r="A4" s="6" t="s">
        <v>9</v>
      </c>
      <c r="B4" s="7" t="s">
        <v>10</v>
      </c>
      <c r="C4" s="1" t="s">
        <v>11</v>
      </c>
      <c r="D4" s="12">
        <v>50</v>
      </c>
      <c r="E4" s="9"/>
      <c r="F4" s="13"/>
      <c r="G4" s="11"/>
      <c r="H4" s="11"/>
      <c r="I4" s="11"/>
      <c r="J4" s="11"/>
      <c r="K4" s="11"/>
      <c r="L4" s="11"/>
      <c r="M4" s="11"/>
      <c r="N4" s="11"/>
    </row>
    <row r="5" spans="1:14">
      <c r="A5" s="6">
        <v>41641</v>
      </c>
      <c r="B5" s="7" t="s">
        <v>12</v>
      </c>
      <c r="C5" s="1" t="s">
        <v>13</v>
      </c>
      <c r="D5" s="12">
        <v>158.38</v>
      </c>
      <c r="E5" s="9"/>
      <c r="F5" s="14" t="s">
        <v>14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41641</v>
      </c>
      <c r="B6" s="7" t="s">
        <v>15</v>
      </c>
      <c r="C6" s="1" t="s">
        <v>16</v>
      </c>
      <c r="D6" s="12">
        <v>85</v>
      </c>
      <c r="E6" s="12"/>
      <c r="F6" t="s">
        <v>17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41641</v>
      </c>
      <c r="B7" s="7" t="s">
        <v>18</v>
      </c>
      <c r="C7" s="1" t="s">
        <v>19</v>
      </c>
      <c r="D7" s="12">
        <v>74.03</v>
      </c>
      <c r="E7" s="12"/>
      <c r="F7" s="15" t="s">
        <v>20</v>
      </c>
      <c r="G7" s="16"/>
      <c r="H7" s="7"/>
      <c r="I7" s="7"/>
      <c r="J7" s="7"/>
      <c r="K7" s="7"/>
      <c r="L7" s="7"/>
      <c r="M7" s="7"/>
      <c r="N7" s="7"/>
    </row>
    <row r="8" spans="1:14">
      <c r="A8" s="6" t="s">
        <v>9</v>
      </c>
      <c r="B8" s="7" t="s">
        <v>21</v>
      </c>
      <c r="C8" s="1" t="s">
        <v>22</v>
      </c>
      <c r="D8" s="12">
        <v>0</v>
      </c>
      <c r="E8" s="9"/>
      <c r="F8" s="17"/>
      <c r="G8" s="1"/>
      <c r="H8" s="1"/>
      <c r="I8" s="1"/>
      <c r="J8" s="1"/>
      <c r="K8" s="1"/>
      <c r="L8" s="1"/>
      <c r="M8" s="1"/>
      <c r="N8" s="1"/>
    </row>
    <row r="9" spans="1:14">
      <c r="A9" s="6">
        <v>41651</v>
      </c>
      <c r="B9" s="7" t="s">
        <v>21</v>
      </c>
      <c r="C9" s="1" t="s">
        <v>23</v>
      </c>
      <c r="D9" s="12">
        <v>236</v>
      </c>
      <c r="E9" s="9"/>
      <c r="F9" s="18" t="s">
        <v>24</v>
      </c>
      <c r="G9" s="11"/>
      <c r="H9" s="11"/>
      <c r="I9" s="11"/>
      <c r="J9" s="11"/>
      <c r="K9" s="11"/>
      <c r="L9" s="11"/>
      <c r="M9" s="11"/>
      <c r="N9" s="11"/>
    </row>
    <row r="10" spans="1:14">
      <c r="A10" s="6">
        <v>41651</v>
      </c>
      <c r="B10" s="7" t="s">
        <v>21</v>
      </c>
      <c r="C10" s="1" t="s">
        <v>25</v>
      </c>
      <c r="D10" s="12">
        <v>20</v>
      </c>
      <c r="E10" s="16"/>
      <c r="F10" s="19"/>
      <c r="G10" s="1"/>
      <c r="H10" s="1"/>
      <c r="I10" s="1"/>
      <c r="J10" s="1"/>
      <c r="K10" s="1"/>
      <c r="L10" s="1"/>
      <c r="M10" s="1"/>
      <c r="N10" s="1"/>
    </row>
    <row r="11" spans="1:14">
      <c r="A11" s="6">
        <v>41651</v>
      </c>
      <c r="B11" s="7" t="s">
        <v>21</v>
      </c>
      <c r="C11" s="1" t="s">
        <v>26</v>
      </c>
      <c r="D11" s="12">
        <v>41.11</v>
      </c>
      <c r="E11" s="12"/>
      <c r="F11" s="18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41651</v>
      </c>
      <c r="B12" s="7" t="s">
        <v>27</v>
      </c>
      <c r="C12" s="1" t="s">
        <v>28</v>
      </c>
      <c r="D12" s="12">
        <v>39.950000000000003</v>
      </c>
      <c r="E12" s="9"/>
      <c r="F12" s="10" t="s">
        <v>29</v>
      </c>
      <c r="G12" s="20"/>
      <c r="H12" s="11"/>
      <c r="I12" s="11"/>
      <c r="J12" s="11"/>
      <c r="K12" s="11"/>
      <c r="L12" s="11"/>
      <c r="M12" s="11"/>
      <c r="N12" s="11"/>
    </row>
    <row r="13" spans="1:14">
      <c r="A13" s="6" t="s">
        <v>9</v>
      </c>
      <c r="B13" s="7" t="s">
        <v>27</v>
      </c>
      <c r="C13" s="1" t="s">
        <v>30</v>
      </c>
      <c r="D13" s="12">
        <v>0</v>
      </c>
      <c r="E13" s="9"/>
      <c r="F13" s="10"/>
      <c r="G13" s="11"/>
      <c r="H13" s="11"/>
      <c r="I13" s="11"/>
      <c r="J13" s="11"/>
      <c r="K13" s="11"/>
      <c r="L13" s="11"/>
      <c r="M13" s="11"/>
      <c r="N13" s="11"/>
    </row>
    <row r="14" spans="1:14">
      <c r="A14" s="6">
        <v>41651</v>
      </c>
      <c r="B14" s="7" t="s">
        <v>31</v>
      </c>
      <c r="C14" s="1" t="s">
        <v>32</v>
      </c>
      <c r="D14" s="12">
        <v>129.22</v>
      </c>
      <c r="E14" s="9"/>
      <c r="F14" s="17" t="s">
        <v>33</v>
      </c>
      <c r="G14" s="7"/>
      <c r="H14" s="7"/>
      <c r="I14" s="7"/>
      <c r="J14" s="7"/>
      <c r="K14" s="7"/>
      <c r="L14" s="7"/>
      <c r="M14" s="7"/>
      <c r="N14" s="7"/>
    </row>
    <row r="15" spans="1:14">
      <c r="A15" s="6">
        <v>41665</v>
      </c>
      <c r="B15" s="7" t="s">
        <v>34</v>
      </c>
      <c r="C15" s="1" t="s">
        <v>35</v>
      </c>
      <c r="D15" s="12">
        <v>85</v>
      </c>
      <c r="E15" s="12"/>
      <c r="F15" s="21" t="s">
        <v>36</v>
      </c>
      <c r="G15" s="11"/>
      <c r="H15" s="11"/>
      <c r="I15" s="11"/>
      <c r="J15" s="11"/>
      <c r="K15" s="11"/>
      <c r="L15" s="11"/>
      <c r="M15" s="11"/>
      <c r="N15" s="11"/>
    </row>
    <row r="16" spans="1:14">
      <c r="A16" s="1"/>
      <c r="B16" s="7"/>
      <c r="C16" s="1"/>
      <c r="D16" s="1"/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2">
        <v>0</v>
      </c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2" t="s">
        <v>37</v>
      </c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6">
        <v>41651</v>
      </c>
      <c r="B19" s="1" t="s">
        <v>38</v>
      </c>
      <c r="C19" s="1" t="s">
        <v>39</v>
      </c>
      <c r="D19" s="23">
        <v>0</v>
      </c>
      <c r="E19" s="1"/>
      <c r="F19" s="24" t="s">
        <v>40</v>
      </c>
      <c r="G19" s="1"/>
      <c r="H19" s="1"/>
      <c r="I19" s="1"/>
      <c r="J19" s="1"/>
      <c r="K19" s="1"/>
      <c r="L19" s="1"/>
      <c r="M19" s="1"/>
      <c r="N19" s="1"/>
    </row>
    <row r="20" spans="1:14" ht="15.75">
      <c r="A20" s="6">
        <v>41651</v>
      </c>
      <c r="B20" s="1" t="s">
        <v>27</v>
      </c>
      <c r="C20" s="1" t="s">
        <v>41</v>
      </c>
      <c r="D20" s="12">
        <v>0</v>
      </c>
      <c r="E20" s="1"/>
      <c r="F20" s="25" t="s">
        <v>42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41651</v>
      </c>
      <c r="B21" s="1" t="s">
        <v>27</v>
      </c>
      <c r="C21" s="1" t="s">
        <v>43</v>
      </c>
      <c r="D21" s="12">
        <v>50</v>
      </c>
      <c r="E21" s="1"/>
      <c r="F21" s="26" t="s">
        <v>44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41649</v>
      </c>
      <c r="B22" s="1" t="s">
        <v>45</v>
      </c>
      <c r="C22" s="1" t="s">
        <v>46</v>
      </c>
      <c r="D22" s="12">
        <v>166</v>
      </c>
      <c r="E22" s="1"/>
      <c r="F22" s="18" t="s">
        <v>47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41651</v>
      </c>
      <c r="B23" s="1" t="s">
        <v>48</v>
      </c>
      <c r="C23" s="1" t="s">
        <v>49</v>
      </c>
      <c r="D23" s="12">
        <v>250</v>
      </c>
      <c r="E23" s="1"/>
      <c r="F23" s="27" t="s">
        <v>50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41651</v>
      </c>
      <c r="B24" s="1" t="s">
        <v>51</v>
      </c>
      <c r="C24" s="1" t="s">
        <v>52</v>
      </c>
      <c r="D24" s="12">
        <v>50</v>
      </c>
      <c r="E24" s="1"/>
      <c r="F24" s="18" t="s">
        <v>53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34</v>
      </c>
      <c r="C25" s="1" t="s">
        <v>54</v>
      </c>
      <c r="D25" s="12">
        <v>0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41641</v>
      </c>
      <c r="B26" s="1" t="s">
        <v>45</v>
      </c>
      <c r="C26" s="1" t="s">
        <v>55</v>
      </c>
      <c r="D26" s="12">
        <v>25</v>
      </c>
      <c r="E26" s="1"/>
      <c r="F26" s="18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2" t="s">
        <v>56</v>
      </c>
      <c r="D28" s="28">
        <v>2343.94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31"/>
      <c r="G30" s="29"/>
      <c r="H30" s="29"/>
      <c r="I30" s="29"/>
      <c r="J30" s="29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3414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v>1070.06</v>
      </c>
      <c r="E32" s="32"/>
      <c r="F32" s="18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3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2">
        <v>267.51499999999999</v>
      </c>
      <c r="D35" s="12"/>
      <c r="E35" s="12"/>
      <c r="F35" s="1"/>
      <c r="G35" s="12"/>
      <c r="H35" s="12"/>
      <c r="I35" s="12"/>
      <c r="J35" s="1"/>
      <c r="K35" s="1"/>
      <c r="L35" s="1"/>
      <c r="M35" s="1"/>
      <c r="N35" s="1"/>
    </row>
    <row r="36" spans="2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1"/>
      <c r="C39" s="34">
        <v>150</v>
      </c>
      <c r="D39" s="12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2">
        <v>77.515000000000001</v>
      </c>
      <c r="D41" s="12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18"/>
      <c r="G43" s="1"/>
      <c r="H43" s="1"/>
      <c r="I43" s="1"/>
      <c r="J43" s="1"/>
      <c r="K43" s="1"/>
      <c r="L43" s="1"/>
      <c r="M43" s="1"/>
      <c r="N43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64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41665</v>
      </c>
      <c r="B3" s="7" t="s">
        <v>6</v>
      </c>
      <c r="C3" s="1" t="s">
        <v>7</v>
      </c>
      <c r="D3" s="8">
        <v>881.5</v>
      </c>
      <c r="E3" s="9"/>
      <c r="F3" s="10" t="s">
        <v>65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41665</v>
      </c>
      <c r="B4" s="7" t="s">
        <v>10</v>
      </c>
      <c r="C4" s="1" t="s">
        <v>11</v>
      </c>
      <c r="D4" s="12">
        <v>50</v>
      </c>
      <c r="E4" s="9"/>
      <c r="F4" s="13" t="s">
        <v>66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41665</v>
      </c>
      <c r="B5" s="7" t="s">
        <v>12</v>
      </c>
      <c r="C5" s="1" t="s">
        <v>13</v>
      </c>
      <c r="D5" s="12">
        <v>158.38</v>
      </c>
      <c r="E5" s="9"/>
      <c r="F5" s="14" t="s">
        <v>67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41665</v>
      </c>
      <c r="B6" s="7" t="s">
        <v>15</v>
      </c>
      <c r="C6" s="1" t="s">
        <v>16</v>
      </c>
      <c r="D6" s="12">
        <v>85</v>
      </c>
      <c r="E6" s="12"/>
      <c r="F6" t="s">
        <v>68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41665</v>
      </c>
      <c r="B7" s="7" t="s">
        <v>18</v>
      </c>
      <c r="C7" s="1" t="s">
        <v>19</v>
      </c>
      <c r="D7" s="12">
        <v>74.03</v>
      </c>
      <c r="E7" s="12"/>
      <c r="F7" s="15" t="s">
        <v>69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70</v>
      </c>
      <c r="D8" s="12">
        <v>0</v>
      </c>
      <c r="E8" s="9"/>
      <c r="F8" s="17"/>
      <c r="G8" s="16"/>
      <c r="H8" s="7"/>
      <c r="I8" s="7"/>
      <c r="J8" s="7"/>
      <c r="K8" s="7"/>
      <c r="L8" s="7"/>
      <c r="M8" s="7"/>
      <c r="N8" s="7"/>
    </row>
    <row r="9" spans="1:14">
      <c r="A9" s="6">
        <v>41678</v>
      </c>
      <c r="B9" s="7" t="s">
        <v>21</v>
      </c>
      <c r="C9" s="1" t="s">
        <v>23</v>
      </c>
      <c r="D9" s="12">
        <v>236</v>
      </c>
      <c r="E9" s="9"/>
      <c r="F9" s="18" t="s">
        <v>71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41678</v>
      </c>
      <c r="B10" s="7" t="s">
        <v>21</v>
      </c>
      <c r="C10" s="1" t="s">
        <v>25</v>
      </c>
      <c r="D10" s="12">
        <v>20</v>
      </c>
      <c r="E10" s="16"/>
      <c r="F10" s="19" t="s">
        <v>72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41678</v>
      </c>
      <c r="B11" s="7" t="s">
        <v>21</v>
      </c>
      <c r="C11" s="1" t="s">
        <v>26</v>
      </c>
      <c r="D11" s="12">
        <v>41.11</v>
      </c>
      <c r="E11" s="12"/>
      <c r="F11" s="18" t="s">
        <v>73</v>
      </c>
      <c r="G11" s="35" t="s">
        <v>74</v>
      </c>
      <c r="H11" s="1"/>
      <c r="I11" s="1"/>
      <c r="J11" s="1"/>
      <c r="K11" s="1"/>
      <c r="L11" s="1"/>
      <c r="M11" s="1"/>
      <c r="N11" s="1"/>
    </row>
    <row r="12" spans="1:14">
      <c r="A12" s="6">
        <v>41691</v>
      </c>
      <c r="B12" s="7" t="s">
        <v>27</v>
      </c>
      <c r="C12" s="1" t="s">
        <v>28</v>
      </c>
      <c r="D12" s="12">
        <v>39.950000000000003</v>
      </c>
      <c r="E12" s="9"/>
      <c r="F12" s="10" t="s">
        <v>75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 t="s">
        <v>9</v>
      </c>
      <c r="B13" s="7" t="s">
        <v>27</v>
      </c>
      <c r="C13" s="1" t="s">
        <v>30</v>
      </c>
      <c r="D13" s="12">
        <v>0</v>
      </c>
      <c r="E13" s="9"/>
      <c r="F13" s="10"/>
      <c r="G13" s="20"/>
      <c r="H13" s="11"/>
      <c r="I13" s="11"/>
      <c r="J13" s="11"/>
      <c r="K13" s="11"/>
      <c r="L13" s="11"/>
      <c r="M13" s="11"/>
      <c r="N13" s="11"/>
    </row>
    <row r="14" spans="1:14">
      <c r="A14" s="6">
        <v>41691</v>
      </c>
      <c r="B14" s="7" t="s">
        <v>31</v>
      </c>
      <c r="C14" s="1" t="s">
        <v>32</v>
      </c>
      <c r="D14" s="12">
        <v>129.22</v>
      </c>
      <c r="E14" s="9"/>
      <c r="F14" s="17"/>
      <c r="G14" s="7"/>
      <c r="H14" s="7"/>
      <c r="I14" s="7"/>
      <c r="J14" s="7"/>
      <c r="K14" s="7"/>
      <c r="L14" s="7"/>
      <c r="M14" s="7"/>
      <c r="N14" s="7"/>
    </row>
    <row r="15" spans="1:14">
      <c r="A15" s="6">
        <v>41691</v>
      </c>
      <c r="B15" s="7" t="s">
        <v>34</v>
      </c>
      <c r="C15" s="1" t="s">
        <v>35</v>
      </c>
      <c r="D15" s="12">
        <v>85</v>
      </c>
      <c r="E15" s="12"/>
      <c r="F15" s="21" t="s">
        <v>76</v>
      </c>
      <c r="G15" s="11"/>
      <c r="H15" s="11"/>
      <c r="I15" s="11"/>
      <c r="J15" s="11"/>
      <c r="K15" s="11"/>
      <c r="L15" s="11"/>
      <c r="M15" s="11"/>
      <c r="N15" s="11"/>
    </row>
    <row r="16" spans="1:14">
      <c r="A16" s="1"/>
      <c r="B16" s="7"/>
      <c r="C16" s="1"/>
      <c r="D16" s="1"/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2">
        <v>0</v>
      </c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2" t="s">
        <v>37</v>
      </c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9</v>
      </c>
      <c r="B19" s="1" t="s">
        <v>38</v>
      </c>
      <c r="C19" s="1" t="s">
        <v>39</v>
      </c>
      <c r="D19" s="23">
        <v>0</v>
      </c>
      <c r="E19" s="1"/>
      <c r="F19" s="24"/>
      <c r="G19" s="1"/>
      <c r="H19" s="1"/>
      <c r="I19" s="1"/>
      <c r="J19" s="1"/>
      <c r="K19" s="1"/>
      <c r="L19" s="1"/>
      <c r="M19" s="1"/>
      <c r="N19" s="1"/>
    </row>
    <row r="20" spans="1:14" ht="15.75">
      <c r="A20" s="6">
        <v>41678</v>
      </c>
      <c r="B20" s="1" t="s">
        <v>27</v>
      </c>
      <c r="C20" s="1" t="s">
        <v>41</v>
      </c>
      <c r="D20" s="12">
        <v>0</v>
      </c>
      <c r="E20" s="1"/>
      <c r="F20" s="25" t="s">
        <v>77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41678</v>
      </c>
      <c r="B21" s="1" t="s">
        <v>27</v>
      </c>
      <c r="C21" s="1" t="s">
        <v>43</v>
      </c>
      <c r="D21" s="12">
        <v>50</v>
      </c>
      <c r="E21" s="1"/>
      <c r="F21" s="26" t="s">
        <v>78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41678</v>
      </c>
      <c r="B22" s="1" t="s">
        <v>45</v>
      </c>
      <c r="C22" s="1" t="s">
        <v>46</v>
      </c>
      <c r="D22" s="12">
        <v>166</v>
      </c>
      <c r="E22" s="1"/>
      <c r="F22" s="18" t="s">
        <v>79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41678</v>
      </c>
      <c r="B23" s="1" t="s">
        <v>48</v>
      </c>
      <c r="C23" s="1" t="s">
        <v>49</v>
      </c>
      <c r="D23" s="12">
        <v>250</v>
      </c>
      <c r="E23" s="1"/>
      <c r="F23" s="27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41678</v>
      </c>
      <c r="B24" s="1" t="s">
        <v>51</v>
      </c>
      <c r="C24" s="1" t="s">
        <v>52</v>
      </c>
      <c r="D24" s="12">
        <v>50</v>
      </c>
      <c r="E24" s="1"/>
      <c r="F24" s="18" t="s">
        <v>80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34</v>
      </c>
      <c r="C25" s="1" t="s">
        <v>54</v>
      </c>
      <c r="D25" s="12">
        <v>0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41678</v>
      </c>
      <c r="B26" s="1" t="s">
        <v>45</v>
      </c>
      <c r="C26" s="1" t="s">
        <v>55</v>
      </c>
      <c r="D26" s="12">
        <v>25</v>
      </c>
      <c r="E26" s="1"/>
      <c r="F26" s="18" t="s">
        <v>81</v>
      </c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2" t="s">
        <v>56</v>
      </c>
      <c r="D28" s="28">
        <f>SUM(D3:D26)</f>
        <v>2341.19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31"/>
      <c r="G30" s="29"/>
      <c r="H30" s="29"/>
      <c r="I30" s="29"/>
      <c r="J30" s="29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3382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D31-D28</f>
        <v>1040.81</v>
      </c>
      <c r="E32" s="32"/>
      <c r="F32" s="18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3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2">
        <f>(D32*12)/52</f>
        <v>240.18692307692305</v>
      </c>
      <c r="D35" s="12"/>
      <c r="E35" s="12"/>
      <c r="F35" s="1"/>
      <c r="G35" s="12"/>
      <c r="H35" s="12"/>
      <c r="I35" s="12"/>
      <c r="J35" s="1"/>
      <c r="K35" s="1"/>
      <c r="L35" s="1"/>
      <c r="M35" s="1"/>
      <c r="N35" s="1"/>
    </row>
    <row r="36" spans="2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1"/>
      <c r="C39" s="34">
        <v>150</v>
      </c>
      <c r="D39" s="12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2">
        <f>C35-C39-C40</f>
        <v>50.186923076923051</v>
      </c>
      <c r="D41" s="12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18"/>
      <c r="G43" s="1"/>
      <c r="H43" s="1"/>
      <c r="I43" s="1"/>
      <c r="J43" s="1"/>
      <c r="K43" s="1"/>
      <c r="L43" s="1"/>
      <c r="M43" s="1"/>
      <c r="N43" s="1"/>
    </row>
  </sheetData>
  <mergeCells count="1">
    <mergeCell ref="A1:D1"/>
  </mergeCells>
  <hyperlinks>
    <hyperlink ref="G11" r:id="rId1" xr:uid="{00000000-0004-0000-01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3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82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41700</v>
      </c>
      <c r="B3" s="7" t="s">
        <v>6</v>
      </c>
      <c r="C3" s="1" t="s">
        <v>7</v>
      </c>
      <c r="D3" s="8">
        <v>881.5</v>
      </c>
      <c r="E3" s="9"/>
      <c r="F3" s="10" t="s">
        <v>83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41699</v>
      </c>
      <c r="B4" s="7" t="s">
        <v>10</v>
      </c>
      <c r="C4" s="1" t="s">
        <v>11</v>
      </c>
      <c r="D4" s="12">
        <v>50</v>
      </c>
      <c r="E4" s="9"/>
      <c r="F4" s="36" t="s">
        <v>84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41700</v>
      </c>
      <c r="B5" s="7" t="s">
        <v>12</v>
      </c>
      <c r="C5" s="1" t="s">
        <v>13</v>
      </c>
      <c r="D5" s="12">
        <v>158.44</v>
      </c>
      <c r="E5" s="9"/>
      <c r="F5" s="14" t="s">
        <v>85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41705</v>
      </c>
      <c r="B6" s="7" t="s">
        <v>15</v>
      </c>
      <c r="C6" s="1" t="s">
        <v>16</v>
      </c>
      <c r="D6" s="12">
        <v>85</v>
      </c>
      <c r="E6" s="12"/>
      <c r="F6" t="s">
        <v>86</v>
      </c>
      <c r="G6" s="11"/>
      <c r="H6" s="11"/>
      <c r="I6" s="11"/>
      <c r="J6" s="11"/>
      <c r="K6" s="11"/>
      <c r="L6" s="11"/>
      <c r="M6" s="11"/>
      <c r="N6" s="11"/>
    </row>
    <row r="7" spans="1:14">
      <c r="A7" s="6" t="s">
        <v>9</v>
      </c>
      <c r="B7" s="7" t="s">
        <v>18</v>
      </c>
      <c r="C7" s="1" t="s">
        <v>19</v>
      </c>
      <c r="D7" s="12">
        <v>74.03</v>
      </c>
      <c r="E7" s="12"/>
      <c r="F7" s="15"/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70</v>
      </c>
      <c r="D8" s="12">
        <v>0</v>
      </c>
      <c r="E8" s="9"/>
      <c r="F8" s="17"/>
      <c r="G8" s="16"/>
      <c r="H8" s="7"/>
      <c r="I8" s="7"/>
      <c r="J8" s="7"/>
      <c r="K8" s="7"/>
      <c r="L8" s="7"/>
      <c r="M8" s="7"/>
      <c r="N8" s="7"/>
    </row>
    <row r="9" spans="1:14">
      <c r="A9" s="6">
        <v>41710</v>
      </c>
      <c r="B9" s="7" t="s">
        <v>21</v>
      </c>
      <c r="C9" s="1" t="s">
        <v>23</v>
      </c>
      <c r="D9" s="12">
        <v>236</v>
      </c>
      <c r="E9" s="9"/>
      <c r="F9" s="18" t="s">
        <v>87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41710</v>
      </c>
      <c r="B10" s="7" t="s">
        <v>21</v>
      </c>
      <c r="C10" s="1" t="s">
        <v>25</v>
      </c>
      <c r="D10" s="12">
        <v>20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41710</v>
      </c>
      <c r="B11" s="7" t="s">
        <v>21</v>
      </c>
      <c r="C11" s="1" t="s">
        <v>26</v>
      </c>
      <c r="D11" s="12">
        <v>41.11</v>
      </c>
      <c r="E11" s="12"/>
      <c r="F11" s="18" t="s">
        <v>88</v>
      </c>
      <c r="G11" s="35" t="s">
        <v>74</v>
      </c>
      <c r="H11" s="1"/>
      <c r="I11" s="1"/>
      <c r="J11" s="1"/>
      <c r="K11" s="1"/>
      <c r="L11" s="1"/>
      <c r="M11" s="1"/>
      <c r="N11" s="1"/>
    </row>
    <row r="12" spans="1:14">
      <c r="A12" s="6">
        <v>41719</v>
      </c>
      <c r="B12" s="7" t="s">
        <v>27</v>
      </c>
      <c r="C12" s="1" t="s">
        <v>28</v>
      </c>
      <c r="D12" s="12">
        <v>45</v>
      </c>
      <c r="E12" s="9"/>
      <c r="F12" s="10" t="s">
        <v>89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 t="s">
        <v>9</v>
      </c>
      <c r="B13" s="7" t="s">
        <v>27</v>
      </c>
      <c r="C13" s="1" t="s">
        <v>30</v>
      </c>
      <c r="D13" s="12">
        <v>0</v>
      </c>
      <c r="E13" s="9"/>
      <c r="F13" s="10"/>
      <c r="G13" s="20"/>
      <c r="H13" s="11"/>
      <c r="I13" s="11"/>
      <c r="J13" s="11"/>
      <c r="K13" s="11"/>
      <c r="L13" s="11"/>
      <c r="M13" s="11"/>
      <c r="N13" s="11"/>
    </row>
    <row r="14" spans="1:14">
      <c r="A14" s="6">
        <v>41719</v>
      </c>
      <c r="B14" s="7" t="s">
        <v>31</v>
      </c>
      <c r="C14" s="1" t="s">
        <v>32</v>
      </c>
      <c r="D14" s="12">
        <v>129.22</v>
      </c>
      <c r="E14" s="9"/>
      <c r="F14" s="17"/>
      <c r="G14" s="7"/>
      <c r="H14" s="7"/>
      <c r="I14" s="7"/>
      <c r="J14" s="7"/>
      <c r="K14" s="7"/>
      <c r="L14" s="7"/>
      <c r="M14" s="7"/>
      <c r="N14" s="7"/>
    </row>
    <row r="15" spans="1:14">
      <c r="A15" s="6">
        <v>41719</v>
      </c>
      <c r="B15" s="7" t="s">
        <v>34</v>
      </c>
      <c r="C15" s="1" t="s">
        <v>35</v>
      </c>
      <c r="D15" s="12">
        <v>85</v>
      </c>
      <c r="E15" s="12"/>
      <c r="F15" s="21" t="s">
        <v>90</v>
      </c>
      <c r="G15" s="11"/>
      <c r="H15" s="11"/>
      <c r="I15" s="11"/>
      <c r="J15" s="11"/>
      <c r="K15" s="11"/>
      <c r="L15" s="11"/>
      <c r="M15" s="11"/>
      <c r="N15" s="11"/>
    </row>
    <row r="16" spans="1:14">
      <c r="A16" s="1"/>
      <c r="B16" s="7"/>
      <c r="C16" s="1"/>
      <c r="D16" s="1"/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2">
        <v>0</v>
      </c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2" t="s">
        <v>37</v>
      </c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9</v>
      </c>
      <c r="B19" s="1" t="s">
        <v>38</v>
      </c>
      <c r="C19" s="1" t="s">
        <v>39</v>
      </c>
      <c r="D19" s="23">
        <v>0</v>
      </c>
      <c r="E19" s="1"/>
      <c r="F19" s="24"/>
      <c r="G19" s="1"/>
      <c r="H19" s="1"/>
      <c r="I19" s="1"/>
      <c r="J19" s="1"/>
      <c r="K19" s="1"/>
      <c r="L19" s="1"/>
      <c r="M19" s="1"/>
      <c r="N19" s="1"/>
    </row>
    <row r="20" spans="1:14" ht="15.75">
      <c r="A20" s="6">
        <v>41710</v>
      </c>
      <c r="B20" s="1" t="s">
        <v>27</v>
      </c>
      <c r="C20" s="1" t="s">
        <v>41</v>
      </c>
      <c r="D20" s="12">
        <v>25</v>
      </c>
      <c r="E20" s="1"/>
      <c r="F20" s="25" t="s">
        <v>91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41706</v>
      </c>
      <c r="B21" s="1" t="s">
        <v>27</v>
      </c>
      <c r="C21" s="1" t="s">
        <v>43</v>
      </c>
      <c r="D21" s="12">
        <v>50</v>
      </c>
      <c r="E21" s="1"/>
      <c r="F21" s="18" t="s">
        <v>92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41705</v>
      </c>
      <c r="B22" s="1" t="s">
        <v>45</v>
      </c>
      <c r="C22" s="1" t="s">
        <v>46</v>
      </c>
      <c r="D22" s="12">
        <v>166</v>
      </c>
      <c r="E22" s="1"/>
      <c r="F22" s="18" t="s">
        <v>93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41706</v>
      </c>
      <c r="B23" s="1" t="s">
        <v>48</v>
      </c>
      <c r="C23" s="1" t="s">
        <v>49</v>
      </c>
      <c r="D23" s="12">
        <v>250</v>
      </c>
      <c r="E23" s="1"/>
      <c r="F23" s="27" t="s">
        <v>94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41710</v>
      </c>
      <c r="B24" s="1" t="s">
        <v>51</v>
      </c>
      <c r="C24" s="1" t="s">
        <v>52</v>
      </c>
      <c r="D24" s="12">
        <v>95</v>
      </c>
      <c r="E24" s="1"/>
      <c r="F24" s="18" t="s">
        <v>95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34</v>
      </c>
      <c r="C25" s="1" t="s">
        <v>54</v>
      </c>
      <c r="D25" s="12">
        <v>0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41705</v>
      </c>
      <c r="B26" s="1" t="s">
        <v>45</v>
      </c>
      <c r="C26" s="1" t="s">
        <v>55</v>
      </c>
      <c r="D26" s="12">
        <v>25</v>
      </c>
      <c r="E26" s="1"/>
      <c r="F26" s="18" t="s">
        <v>96</v>
      </c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2" t="s">
        <v>56</v>
      </c>
      <c r="D28" s="28">
        <f>SUM(D3:D26)</f>
        <v>2416.3000000000002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31"/>
      <c r="G30" s="29"/>
      <c r="H30" s="29"/>
      <c r="I30" s="29"/>
      <c r="J30" s="29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3434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D31-D28</f>
        <v>1017.6999999999998</v>
      </c>
      <c r="E32" s="32"/>
      <c r="F32" s="18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3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2">
        <f>(D32*12)/52</f>
        <v>234.85384615384612</v>
      </c>
      <c r="D35" s="12"/>
      <c r="E35" s="12"/>
      <c r="F35" s="1"/>
      <c r="G35" s="12"/>
      <c r="H35" s="12"/>
      <c r="I35" s="12"/>
      <c r="J35" s="1"/>
      <c r="K35" s="1"/>
      <c r="L35" s="1"/>
      <c r="M35" s="1"/>
      <c r="N35" s="1"/>
    </row>
    <row r="36" spans="2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1"/>
      <c r="C39" s="34">
        <v>150</v>
      </c>
      <c r="D39" s="12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2">
        <f>C35-C39-C40</f>
        <v>44.853846153846121</v>
      </c>
      <c r="D41" s="12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18"/>
      <c r="G43" s="1"/>
      <c r="H43" s="1"/>
      <c r="I43" s="1"/>
      <c r="J43" s="1"/>
      <c r="K43" s="1"/>
      <c r="L43" s="1"/>
      <c r="M43" s="1"/>
      <c r="N43" s="1"/>
    </row>
  </sheetData>
  <mergeCells count="1">
    <mergeCell ref="A1:D1"/>
  </mergeCells>
  <hyperlinks>
    <hyperlink ref="G11" r:id="rId1" xr:uid="{00000000-0004-0000-02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topLeftCell="A4"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97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41733</v>
      </c>
      <c r="B3" s="7" t="s">
        <v>6</v>
      </c>
      <c r="C3" s="1" t="s">
        <v>7</v>
      </c>
      <c r="D3" s="8">
        <v>881.5</v>
      </c>
      <c r="E3" s="9"/>
      <c r="F3" s="10" t="s">
        <v>98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41728</v>
      </c>
      <c r="B4" s="7" t="s">
        <v>10</v>
      </c>
      <c r="C4" s="1" t="s">
        <v>11</v>
      </c>
      <c r="D4" s="12">
        <v>50</v>
      </c>
      <c r="E4" s="9"/>
      <c r="F4" s="36" t="s">
        <v>99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41733</v>
      </c>
      <c r="B5" s="7" t="s">
        <v>12</v>
      </c>
      <c r="C5" s="1" t="s">
        <v>13</v>
      </c>
      <c r="D5" s="12">
        <v>126.16</v>
      </c>
      <c r="E5" s="9"/>
      <c r="F5" s="14" t="s">
        <v>100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41747</v>
      </c>
      <c r="B6" s="7" t="s">
        <v>15</v>
      </c>
      <c r="C6" s="1" t="s">
        <v>16</v>
      </c>
      <c r="D6" s="12">
        <v>85</v>
      </c>
      <c r="E6" s="12"/>
      <c r="F6" t="s">
        <v>101</v>
      </c>
      <c r="G6" s="11"/>
      <c r="H6" s="11"/>
      <c r="I6" s="11"/>
      <c r="J6" s="11"/>
      <c r="K6" s="11"/>
      <c r="L6" s="11"/>
      <c r="M6" s="11"/>
      <c r="N6" s="11"/>
    </row>
    <row r="7" spans="1:14">
      <c r="A7" s="6" t="s">
        <v>9</v>
      </c>
      <c r="B7" s="7" t="s">
        <v>18</v>
      </c>
      <c r="C7" s="1" t="s">
        <v>19</v>
      </c>
      <c r="D7" s="12">
        <v>74.03</v>
      </c>
      <c r="E7" s="12"/>
      <c r="F7" s="15"/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70</v>
      </c>
      <c r="D8" s="12">
        <v>0</v>
      </c>
      <c r="E8" s="9"/>
      <c r="F8" s="17"/>
      <c r="G8" s="16"/>
      <c r="H8" s="7"/>
      <c r="I8" s="7"/>
      <c r="J8" s="7"/>
      <c r="K8" s="7"/>
      <c r="L8" s="7"/>
      <c r="M8" s="7"/>
      <c r="N8" s="7"/>
    </row>
    <row r="9" spans="1:14">
      <c r="A9" s="6">
        <v>41744</v>
      </c>
      <c r="B9" s="7" t="s">
        <v>21</v>
      </c>
      <c r="C9" s="1" t="s">
        <v>23</v>
      </c>
      <c r="D9" s="12">
        <v>236</v>
      </c>
      <c r="E9" s="9"/>
      <c r="F9" s="18" t="s">
        <v>102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41741</v>
      </c>
      <c r="B10" s="7" t="s">
        <v>21</v>
      </c>
      <c r="C10" s="1" t="s">
        <v>25</v>
      </c>
      <c r="D10" s="12">
        <v>30</v>
      </c>
      <c r="E10" s="16" t="s">
        <v>103</v>
      </c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41747</v>
      </c>
      <c r="B11" s="7" t="s">
        <v>27</v>
      </c>
      <c r="C11" s="1" t="s">
        <v>28</v>
      </c>
      <c r="D11" s="12">
        <v>45</v>
      </c>
      <c r="E11" s="9"/>
      <c r="F11" s="10" t="s">
        <v>104</v>
      </c>
      <c r="G11" s="11"/>
      <c r="H11" s="11"/>
      <c r="I11" s="11"/>
      <c r="J11" s="11"/>
      <c r="K11" s="11"/>
      <c r="L11" s="11"/>
      <c r="M11" s="11"/>
      <c r="N11" s="11"/>
    </row>
    <row r="12" spans="1:14">
      <c r="A12" s="6" t="s">
        <v>9</v>
      </c>
      <c r="B12" s="7" t="s">
        <v>27</v>
      </c>
      <c r="C12" s="1" t="s">
        <v>30</v>
      </c>
      <c r="D12" s="12">
        <v>0</v>
      </c>
      <c r="E12" s="9"/>
      <c r="F12" s="10"/>
      <c r="G12" s="20"/>
      <c r="H12" s="11"/>
      <c r="I12" s="11"/>
      <c r="J12" s="11"/>
      <c r="K12" s="11"/>
      <c r="L12" s="11"/>
      <c r="M12" s="11"/>
      <c r="N12" s="11"/>
    </row>
    <row r="13" spans="1:14">
      <c r="A13" s="6">
        <v>41747</v>
      </c>
      <c r="B13" s="7" t="s">
        <v>31</v>
      </c>
      <c r="C13" s="1" t="s">
        <v>32</v>
      </c>
      <c r="D13" s="12">
        <v>129.22</v>
      </c>
      <c r="E13" s="9"/>
      <c r="F13" s="17"/>
      <c r="G13" s="7"/>
      <c r="H13" s="7"/>
      <c r="I13" s="7"/>
      <c r="J13" s="7"/>
      <c r="K13" s="7"/>
      <c r="L13" s="7"/>
      <c r="M13" s="7"/>
      <c r="N13" s="7"/>
    </row>
    <row r="14" spans="1:14">
      <c r="A14" s="6">
        <v>41747</v>
      </c>
      <c r="B14" s="7" t="s">
        <v>105</v>
      </c>
      <c r="C14" s="1" t="s">
        <v>26</v>
      </c>
      <c r="D14" s="12">
        <v>41.11</v>
      </c>
      <c r="E14" s="12"/>
      <c r="F14" s="18" t="s">
        <v>106</v>
      </c>
      <c r="G14" s="35" t="s">
        <v>74</v>
      </c>
      <c r="H14" s="1"/>
      <c r="I14" s="1"/>
      <c r="J14" s="1"/>
      <c r="K14" s="1"/>
      <c r="L14" s="1"/>
      <c r="M14" s="1"/>
      <c r="N14" s="1"/>
    </row>
    <row r="15" spans="1:14">
      <c r="A15" s="6">
        <v>41747</v>
      </c>
      <c r="B15" s="7" t="s">
        <v>34</v>
      </c>
      <c r="C15" s="1" t="s">
        <v>35</v>
      </c>
      <c r="D15" s="12">
        <v>85</v>
      </c>
      <c r="E15" s="12"/>
      <c r="F15" s="21" t="s">
        <v>107</v>
      </c>
      <c r="G15" s="11"/>
      <c r="H15" s="11"/>
      <c r="I15" s="11"/>
      <c r="J15" s="11"/>
      <c r="K15" s="11"/>
      <c r="L15" s="11"/>
      <c r="M15" s="11"/>
      <c r="N15" s="11"/>
    </row>
    <row r="16" spans="1:14">
      <c r="A16" s="1"/>
      <c r="B16" s="7"/>
      <c r="C16" s="1"/>
      <c r="D16" s="1"/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2">
        <v>0</v>
      </c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2" t="s">
        <v>37</v>
      </c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9</v>
      </c>
      <c r="B19" s="1" t="s">
        <v>38</v>
      </c>
      <c r="C19" s="1" t="s">
        <v>39</v>
      </c>
      <c r="D19" s="23">
        <v>0</v>
      </c>
      <c r="E19" s="1"/>
      <c r="F19" s="24"/>
      <c r="G19" s="1"/>
      <c r="H19" s="1"/>
      <c r="I19" s="1"/>
      <c r="J19" s="1"/>
      <c r="K19" s="1"/>
      <c r="L19" s="1"/>
      <c r="M19" s="1"/>
      <c r="N19" s="1"/>
    </row>
    <row r="20" spans="1:14" ht="15.75">
      <c r="A20" s="6">
        <v>41733</v>
      </c>
      <c r="B20" s="1" t="s">
        <v>27</v>
      </c>
      <c r="C20" s="1" t="s">
        <v>41</v>
      </c>
      <c r="D20" s="12">
        <v>25</v>
      </c>
      <c r="E20" s="1"/>
      <c r="F20" s="25" t="s">
        <v>108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41733</v>
      </c>
      <c r="B21" s="1" t="s">
        <v>27</v>
      </c>
      <c r="C21" s="1" t="s">
        <v>43</v>
      </c>
      <c r="D21" s="12">
        <v>50</v>
      </c>
      <c r="E21" s="1"/>
      <c r="F21" s="18" t="s">
        <v>109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41733</v>
      </c>
      <c r="B22" s="1" t="s">
        <v>45</v>
      </c>
      <c r="C22" s="1" t="s">
        <v>46</v>
      </c>
      <c r="D22" s="12">
        <v>166</v>
      </c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41733</v>
      </c>
      <c r="B23" s="1" t="s">
        <v>48</v>
      </c>
      <c r="C23" s="1" t="s">
        <v>49</v>
      </c>
      <c r="D23" s="12">
        <v>250</v>
      </c>
      <c r="E23" s="1"/>
      <c r="F23" s="27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41747</v>
      </c>
      <c r="B24" s="1" t="s">
        <v>51</v>
      </c>
      <c r="C24" s="1" t="s">
        <v>52</v>
      </c>
      <c r="D24" s="12">
        <v>95</v>
      </c>
      <c r="E24" s="1"/>
      <c r="F24" s="18" t="s">
        <v>110</v>
      </c>
      <c r="G24" s="18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34</v>
      </c>
      <c r="C25" s="1" t="s">
        <v>54</v>
      </c>
      <c r="D25" s="12">
        <v>0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41733</v>
      </c>
      <c r="B26" s="1" t="s">
        <v>45</v>
      </c>
      <c r="C26" s="1" t="s">
        <v>55</v>
      </c>
      <c r="D26" s="12">
        <v>25</v>
      </c>
      <c r="E26" s="1"/>
      <c r="F26" s="18" t="s">
        <v>111</v>
      </c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2" t="s">
        <v>56</v>
      </c>
      <c r="D28" s="28">
        <f>SUM(D3:D26)</f>
        <v>2394.02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31"/>
      <c r="G30" s="29"/>
      <c r="H30" s="29"/>
      <c r="I30" s="29"/>
      <c r="J30" s="29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3434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D31-D28</f>
        <v>1039.98</v>
      </c>
      <c r="E32" s="32"/>
      <c r="F32" s="18"/>
      <c r="G32" s="1">
        <v>1717.96</v>
      </c>
      <c r="H32" s="1" t="s">
        <v>112</v>
      </c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>
        <f>G32*26</f>
        <v>44666.96</v>
      </c>
      <c r="H33" s="1" t="s">
        <v>113</v>
      </c>
      <c r="I33" s="1"/>
      <c r="J33" s="1"/>
      <c r="K33" s="1"/>
      <c r="L33" s="1"/>
      <c r="M33" s="1"/>
      <c r="N33" s="1"/>
    </row>
    <row r="34" spans="2:14">
      <c r="B34" s="1"/>
      <c r="C34" s="33"/>
      <c r="D34" s="12"/>
      <c r="E34" s="12"/>
      <c r="F34" s="1"/>
      <c r="G34" s="1">
        <f>G33/12</f>
        <v>3722.2466666666664</v>
      </c>
      <c r="H34" s="1" t="s">
        <v>114</v>
      </c>
      <c r="I34" s="1"/>
      <c r="J34" s="1"/>
      <c r="K34" s="1"/>
      <c r="L34" s="1"/>
      <c r="M34" s="1"/>
      <c r="N34" s="1"/>
    </row>
    <row r="35" spans="2:14">
      <c r="B35" s="1"/>
      <c r="C35" s="32">
        <f>(D32*12)/52</f>
        <v>239.99538461538461</v>
      </c>
      <c r="D35" s="12"/>
      <c r="E35" s="12"/>
      <c r="F35" s="1"/>
      <c r="G35" s="12"/>
      <c r="H35" s="12"/>
      <c r="I35" s="12"/>
      <c r="J35" s="1"/>
      <c r="K35" s="1"/>
      <c r="L35" s="1"/>
      <c r="M35" s="1"/>
      <c r="N35" s="1"/>
    </row>
    <row r="36" spans="2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1"/>
      <c r="C39" s="34">
        <v>150</v>
      </c>
      <c r="D39" s="12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2">
        <f>C35-C39-C40</f>
        <v>49.995384615384609</v>
      </c>
      <c r="D41" s="12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18"/>
      <c r="G43" s="1"/>
      <c r="H43" s="1"/>
      <c r="I43" s="1"/>
      <c r="J43" s="1"/>
      <c r="K43" s="1"/>
      <c r="L43" s="1"/>
      <c r="M43" s="1"/>
      <c r="N43" s="1"/>
    </row>
  </sheetData>
  <mergeCells count="1">
    <mergeCell ref="A1:D1"/>
  </mergeCells>
  <hyperlinks>
    <hyperlink ref="G14" r:id="rId1" xr:uid="{00000000-0004-0000-03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7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115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41761</v>
      </c>
      <c r="B3" s="7" t="s">
        <v>6</v>
      </c>
      <c r="C3" s="1" t="s">
        <v>7</v>
      </c>
      <c r="D3" s="8">
        <v>881.5</v>
      </c>
      <c r="E3" s="9"/>
      <c r="F3" s="10" t="s">
        <v>116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41761</v>
      </c>
      <c r="B4" s="7" t="s">
        <v>10</v>
      </c>
      <c r="C4" s="1" t="s">
        <v>11</v>
      </c>
      <c r="D4" s="12">
        <v>50</v>
      </c>
      <c r="E4" s="9"/>
      <c r="F4" s="36" t="s">
        <v>117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41761</v>
      </c>
      <c r="B5" s="7" t="s">
        <v>12</v>
      </c>
      <c r="C5" s="1" t="s">
        <v>13</v>
      </c>
      <c r="D5" s="12">
        <v>126.16</v>
      </c>
      <c r="E5" s="9"/>
      <c r="F5" s="14" t="s">
        <v>118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41761</v>
      </c>
      <c r="B6" s="7" t="s">
        <v>15</v>
      </c>
      <c r="C6" s="1" t="s">
        <v>16</v>
      </c>
      <c r="D6" s="12">
        <v>85</v>
      </c>
      <c r="E6" s="12"/>
      <c r="F6" t="s">
        <v>119</v>
      </c>
      <c r="G6" s="11"/>
      <c r="H6" s="11"/>
      <c r="I6" s="11"/>
      <c r="J6" s="11"/>
      <c r="K6" s="11"/>
      <c r="L6" s="11"/>
      <c r="M6" s="11"/>
      <c r="N6" s="11"/>
    </row>
    <row r="7" spans="1:14">
      <c r="A7" s="6" t="s">
        <v>9</v>
      </c>
      <c r="B7" s="7" t="s">
        <v>18</v>
      </c>
      <c r="C7" s="1" t="s">
        <v>19</v>
      </c>
      <c r="D7" s="12">
        <v>75.13</v>
      </c>
      <c r="E7" s="12"/>
      <c r="F7" s="15"/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70</v>
      </c>
      <c r="D8" s="12">
        <v>0</v>
      </c>
      <c r="E8" s="9"/>
      <c r="F8" s="17"/>
      <c r="G8" s="16"/>
      <c r="H8" s="7"/>
      <c r="I8" s="7"/>
      <c r="J8" s="7"/>
      <c r="K8" s="7"/>
      <c r="L8" s="7"/>
      <c r="M8" s="7"/>
      <c r="N8" s="7"/>
    </row>
    <row r="9" spans="1:14">
      <c r="A9" s="6">
        <v>41775</v>
      </c>
      <c r="B9" s="7" t="s">
        <v>21</v>
      </c>
      <c r="C9" s="1" t="s">
        <v>23</v>
      </c>
      <c r="D9" s="12">
        <v>236</v>
      </c>
      <c r="E9" s="9"/>
      <c r="F9" s="18" t="s">
        <v>120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41762</v>
      </c>
      <c r="B11" s="7" t="s">
        <v>21</v>
      </c>
      <c r="C11" s="1" t="s">
        <v>121</v>
      </c>
      <c r="D11" s="12">
        <v>41.11</v>
      </c>
      <c r="E11" s="12"/>
      <c r="F11" s="18" t="s">
        <v>122</v>
      </c>
      <c r="G11" s="35" t="s">
        <v>74</v>
      </c>
      <c r="H11" s="1"/>
      <c r="I11" s="1"/>
      <c r="J11" s="1"/>
      <c r="K11" s="1"/>
      <c r="L11" s="1"/>
      <c r="M11" s="1"/>
      <c r="N11" s="1"/>
    </row>
    <row r="12" spans="1:14">
      <c r="A12" s="6">
        <v>41775</v>
      </c>
      <c r="B12" s="7" t="s">
        <v>27</v>
      </c>
      <c r="C12" s="1" t="s">
        <v>28</v>
      </c>
      <c r="D12" s="12">
        <v>44.95</v>
      </c>
      <c r="E12" s="9"/>
      <c r="F12" s="10" t="s">
        <v>123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 t="s">
        <v>9</v>
      </c>
      <c r="B13" s="7" t="s">
        <v>27</v>
      </c>
      <c r="C13" s="1" t="s">
        <v>30</v>
      </c>
      <c r="D13" s="12">
        <v>0</v>
      </c>
      <c r="E13" s="9"/>
      <c r="F13" s="10"/>
      <c r="G13" s="20"/>
      <c r="H13" s="11"/>
      <c r="I13" s="11"/>
      <c r="J13" s="11"/>
      <c r="K13" s="11"/>
      <c r="L13" s="11"/>
      <c r="M13" s="11"/>
      <c r="N13" s="11"/>
    </row>
    <row r="14" spans="1:14">
      <c r="A14" s="6">
        <v>41775</v>
      </c>
      <c r="B14" s="7" t="s">
        <v>31</v>
      </c>
      <c r="C14" s="1" t="s">
        <v>32</v>
      </c>
      <c r="D14" s="12">
        <v>129.22</v>
      </c>
      <c r="E14" s="9"/>
      <c r="F14" s="17"/>
      <c r="G14" s="7"/>
      <c r="H14" s="7"/>
      <c r="I14" s="7"/>
      <c r="J14" s="7"/>
      <c r="K14" s="7"/>
      <c r="L14" s="7"/>
      <c r="M14" s="7"/>
      <c r="N14" s="7"/>
    </row>
    <row r="15" spans="1:14">
      <c r="A15" s="6">
        <v>41792</v>
      </c>
      <c r="B15" s="7" t="s">
        <v>34</v>
      </c>
      <c r="C15" s="1" t="s">
        <v>35</v>
      </c>
      <c r="D15" s="12">
        <v>85</v>
      </c>
      <c r="E15" s="12"/>
      <c r="F15" s="21" t="s">
        <v>124</v>
      </c>
      <c r="G15" s="11"/>
      <c r="H15" s="11"/>
      <c r="I15" s="11"/>
      <c r="J15" s="11"/>
      <c r="K15" s="11"/>
      <c r="L15" s="11"/>
      <c r="M15" s="11"/>
      <c r="N15" s="11"/>
    </row>
    <row r="16" spans="1:14">
      <c r="A16" s="1"/>
      <c r="B16" s="7"/>
      <c r="C16" s="1"/>
      <c r="D16" s="1"/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2">
        <v>0</v>
      </c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2" t="s">
        <v>37</v>
      </c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9</v>
      </c>
      <c r="B19" s="1" t="s">
        <v>38</v>
      </c>
      <c r="C19" s="1" t="s">
        <v>39</v>
      </c>
      <c r="D19" s="23">
        <v>0</v>
      </c>
      <c r="E19" s="1"/>
      <c r="F19" s="24"/>
      <c r="G19" s="1"/>
      <c r="H19" s="1"/>
      <c r="I19" s="1"/>
      <c r="J19" s="1"/>
      <c r="K19" s="1"/>
      <c r="L19" s="1"/>
      <c r="M19" s="1"/>
      <c r="N19" s="1"/>
    </row>
    <row r="20" spans="1:14" ht="15.75">
      <c r="A20" s="6">
        <v>41762</v>
      </c>
      <c r="B20" s="1" t="s">
        <v>27</v>
      </c>
      <c r="C20" s="1" t="s">
        <v>41</v>
      </c>
      <c r="D20" s="12">
        <v>0</v>
      </c>
      <c r="E20" s="1"/>
      <c r="F20" s="25" t="s">
        <v>125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41776</v>
      </c>
      <c r="B21" s="1" t="s">
        <v>27</v>
      </c>
      <c r="C21" s="1" t="s">
        <v>43</v>
      </c>
      <c r="D21" s="12">
        <v>50</v>
      </c>
      <c r="E21" s="1"/>
      <c r="F21" s="18" t="s">
        <v>126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41761</v>
      </c>
      <c r="B22" s="1" t="s">
        <v>45</v>
      </c>
      <c r="C22" s="1" t="s">
        <v>46</v>
      </c>
      <c r="D22" s="12">
        <v>166</v>
      </c>
      <c r="E22" s="1"/>
      <c r="F22" s="18" t="s">
        <v>127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41775</v>
      </c>
      <c r="B23" s="1" t="s">
        <v>48</v>
      </c>
      <c r="C23" s="1" t="s">
        <v>49</v>
      </c>
      <c r="D23" s="12">
        <v>300</v>
      </c>
      <c r="E23" s="1"/>
      <c r="F23" s="27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41775</v>
      </c>
      <c r="B24" s="1" t="s">
        <v>51</v>
      </c>
      <c r="C24" s="1" t="s">
        <v>52</v>
      </c>
      <c r="D24" s="12">
        <v>95</v>
      </c>
      <c r="E24" s="1"/>
      <c r="F24" s="18" t="s">
        <v>128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34</v>
      </c>
      <c r="C25" s="1" t="s">
        <v>54</v>
      </c>
      <c r="D25" s="12">
        <v>0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41762</v>
      </c>
      <c r="B26" s="1" t="s">
        <v>45</v>
      </c>
      <c r="C26" s="1" t="s">
        <v>55</v>
      </c>
      <c r="D26" s="12">
        <v>25</v>
      </c>
      <c r="E26" s="1"/>
      <c r="F26" s="18" t="s">
        <v>129</v>
      </c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2" t="s">
        <v>56</v>
      </c>
      <c r="D28" s="28">
        <f>SUM(D3:D26)</f>
        <v>2420.3199999999997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31"/>
      <c r="G30" s="29"/>
      <c r="H30" s="29"/>
      <c r="I30" s="29"/>
      <c r="J30" s="29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3518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D31-D28</f>
        <v>1097.6800000000003</v>
      </c>
      <c r="E32" s="32"/>
      <c r="F32" s="18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3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2">
        <f>(D32*12)/52</f>
        <v>253.3107692307693</v>
      </c>
      <c r="D35" s="12"/>
      <c r="E35" s="12"/>
      <c r="F35" s="1"/>
      <c r="G35" s="12"/>
      <c r="H35" s="12"/>
      <c r="I35" s="12"/>
      <c r="J35" s="1"/>
      <c r="K35" s="1"/>
      <c r="L35" s="1"/>
      <c r="M35" s="1"/>
      <c r="N35" s="1"/>
    </row>
    <row r="36" spans="2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1"/>
      <c r="C39" s="34">
        <v>150</v>
      </c>
      <c r="D39" s="12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2">
        <f>C35-C39-C40</f>
        <v>63.310769230769296</v>
      </c>
      <c r="D41" s="12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18"/>
      <c r="G43" s="1"/>
      <c r="H43" s="1"/>
      <c r="I43" s="1"/>
      <c r="J43" s="1"/>
      <c r="K43" s="1"/>
      <c r="L43" s="1"/>
      <c r="M43" s="1"/>
      <c r="N43" s="1"/>
    </row>
    <row r="45" spans="2:14">
      <c r="G45" s="1">
        <v>1717.96</v>
      </c>
      <c r="H45" s="1" t="s">
        <v>112</v>
      </c>
    </row>
    <row r="46" spans="2:14">
      <c r="G46" s="1">
        <f>G45*26</f>
        <v>44666.96</v>
      </c>
      <c r="H46" s="1" t="s">
        <v>113</v>
      </c>
    </row>
    <row r="47" spans="2:14">
      <c r="G47" s="1">
        <f>G46/12</f>
        <v>3722.2466666666664</v>
      </c>
      <c r="H47" s="1" t="s">
        <v>114</v>
      </c>
    </row>
  </sheetData>
  <mergeCells count="1">
    <mergeCell ref="A1:D1"/>
  </mergeCells>
  <hyperlinks>
    <hyperlink ref="G11" r:id="rId1" xr:uid="{00000000-0004-0000-04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7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130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 t="s">
        <v>9</v>
      </c>
      <c r="B3" s="7" t="s">
        <v>6</v>
      </c>
      <c r="C3" s="1" t="s">
        <v>131</v>
      </c>
      <c r="D3" s="8">
        <v>1258</v>
      </c>
      <c r="E3" s="9"/>
      <c r="F3" s="10"/>
      <c r="G3" s="11"/>
      <c r="H3" s="11"/>
      <c r="I3" s="11"/>
      <c r="J3" s="11"/>
      <c r="K3" s="11"/>
      <c r="L3" s="11"/>
      <c r="M3" s="11"/>
      <c r="N3" s="11"/>
    </row>
    <row r="4" spans="1:14">
      <c r="A4" s="6">
        <v>41792</v>
      </c>
      <c r="B4" s="7" t="s">
        <v>10</v>
      </c>
      <c r="C4" s="1" t="s">
        <v>11</v>
      </c>
      <c r="D4" s="12">
        <v>50</v>
      </c>
      <c r="E4" s="9"/>
      <c r="F4" s="36" t="s">
        <v>132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41792</v>
      </c>
      <c r="B5" s="7" t="s">
        <v>12</v>
      </c>
      <c r="C5" s="1" t="s">
        <v>13</v>
      </c>
      <c r="D5" s="12">
        <v>130.19999999999999</v>
      </c>
      <c r="E5" s="9"/>
      <c r="F5" s="15" t="s">
        <v>133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41792</v>
      </c>
      <c r="B6" s="7" t="s">
        <v>15</v>
      </c>
      <c r="C6" s="1" t="s">
        <v>16</v>
      </c>
      <c r="D6" s="12">
        <v>39</v>
      </c>
      <c r="E6" s="12"/>
      <c r="F6" t="s">
        <v>134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41792</v>
      </c>
      <c r="B7" s="7" t="s">
        <v>18</v>
      </c>
      <c r="C7" s="1" t="s">
        <v>19</v>
      </c>
      <c r="D7" s="12">
        <v>75.13</v>
      </c>
      <c r="E7" s="12"/>
      <c r="F7">
        <v>67638703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70</v>
      </c>
      <c r="D8" s="12">
        <v>0</v>
      </c>
      <c r="E8" s="9"/>
      <c r="F8" s="17"/>
      <c r="G8" s="16"/>
      <c r="H8" s="7"/>
      <c r="I8" s="7"/>
      <c r="J8" s="7"/>
      <c r="K8" s="7"/>
      <c r="L8" s="7"/>
      <c r="M8" s="7"/>
      <c r="N8" s="7"/>
    </row>
    <row r="9" spans="1:14">
      <c r="A9" s="6">
        <v>41803</v>
      </c>
      <c r="B9" s="7" t="s">
        <v>21</v>
      </c>
      <c r="C9" s="1" t="s">
        <v>23</v>
      </c>
      <c r="D9" s="12">
        <v>236</v>
      </c>
      <c r="E9" s="9"/>
      <c r="F9" s="18" t="s">
        <v>135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41798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/>
      <c r="B11" s="7" t="s">
        <v>21</v>
      </c>
      <c r="C11" s="1" t="s">
        <v>121</v>
      </c>
      <c r="D11" s="12">
        <v>41.11</v>
      </c>
      <c r="E11" s="12"/>
      <c r="F11" s="18"/>
      <c r="G11" s="35" t="s">
        <v>74</v>
      </c>
      <c r="H11" s="1"/>
      <c r="I11" s="1"/>
      <c r="J11" s="1"/>
      <c r="K11" s="1"/>
      <c r="L11" s="1"/>
      <c r="M11" s="1"/>
      <c r="N11" s="1"/>
    </row>
    <row r="12" spans="1:14">
      <c r="A12" s="6">
        <v>41803</v>
      </c>
      <c r="B12" s="7" t="s">
        <v>27</v>
      </c>
      <c r="C12" s="1" t="s">
        <v>28</v>
      </c>
      <c r="D12" s="12">
        <v>44.95</v>
      </c>
      <c r="E12" s="9"/>
      <c r="F12" s="10" t="s">
        <v>136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 t="s">
        <v>9</v>
      </c>
      <c r="B13" s="7" t="s">
        <v>27</v>
      </c>
      <c r="C13" s="1" t="s">
        <v>30</v>
      </c>
      <c r="D13" s="12">
        <v>0</v>
      </c>
      <c r="E13" s="9"/>
      <c r="F13" s="10"/>
      <c r="G13" s="20"/>
      <c r="H13" s="11"/>
      <c r="I13" s="11"/>
      <c r="J13" s="11"/>
      <c r="K13" s="11"/>
      <c r="L13" s="11"/>
      <c r="M13" s="11"/>
      <c r="N13" s="11"/>
    </row>
    <row r="14" spans="1:14">
      <c r="A14" s="6">
        <v>41803</v>
      </c>
      <c r="B14" s="7" t="s">
        <v>31</v>
      </c>
      <c r="C14" s="1" t="s">
        <v>32</v>
      </c>
      <c r="D14" s="12">
        <v>129.22</v>
      </c>
      <c r="E14" s="9"/>
      <c r="F14" s="17"/>
      <c r="G14" s="7"/>
      <c r="H14" s="7"/>
      <c r="I14" s="7"/>
      <c r="J14" s="7"/>
      <c r="K14" s="7"/>
      <c r="L14" s="7"/>
      <c r="M14" s="7"/>
      <c r="N14" s="7"/>
    </row>
    <row r="15" spans="1:14">
      <c r="A15" s="6">
        <v>41816</v>
      </c>
      <c r="B15" s="7" t="s">
        <v>34</v>
      </c>
      <c r="C15" s="1" t="s">
        <v>35</v>
      </c>
      <c r="D15" s="12">
        <v>85</v>
      </c>
      <c r="E15" s="12"/>
      <c r="F15" s="21" t="s">
        <v>137</v>
      </c>
      <c r="G15" s="11"/>
      <c r="H15" s="11"/>
      <c r="I15" s="11"/>
      <c r="J15" s="11"/>
      <c r="K15" s="11"/>
      <c r="L15" s="11"/>
      <c r="M15" s="11"/>
      <c r="N15" s="11"/>
    </row>
    <row r="16" spans="1:14">
      <c r="A16" s="1"/>
      <c r="B16" s="7"/>
      <c r="C16" s="1"/>
      <c r="D16" s="1"/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2">
        <v>0</v>
      </c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2" t="s">
        <v>37</v>
      </c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9</v>
      </c>
      <c r="B19" s="1" t="s">
        <v>38</v>
      </c>
      <c r="C19" s="1" t="s">
        <v>39</v>
      </c>
      <c r="D19" s="23">
        <v>0</v>
      </c>
      <c r="E19" s="1"/>
      <c r="F19" s="24"/>
      <c r="G19" s="1"/>
      <c r="H19" s="1"/>
      <c r="I19" s="1"/>
      <c r="J19" s="1"/>
      <c r="K19" s="1"/>
      <c r="L19" s="1"/>
      <c r="M19" s="1"/>
      <c r="N19" s="1"/>
    </row>
    <row r="20" spans="1:14" ht="15.75">
      <c r="A20" s="6" t="s">
        <v>9</v>
      </c>
      <c r="B20" s="1" t="s">
        <v>27</v>
      </c>
      <c r="C20" s="1" t="s">
        <v>41</v>
      </c>
      <c r="D20" s="12">
        <v>0</v>
      </c>
      <c r="E20" s="1"/>
      <c r="F20" s="25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41803</v>
      </c>
      <c r="B21" s="1" t="s">
        <v>27</v>
      </c>
      <c r="C21" s="1" t="s">
        <v>43</v>
      </c>
      <c r="D21" s="12">
        <v>81</v>
      </c>
      <c r="E21" s="1"/>
      <c r="F21" s="37">
        <v>181579955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41792</v>
      </c>
      <c r="B22" s="1" t="s">
        <v>45</v>
      </c>
      <c r="C22" s="1" t="s">
        <v>46</v>
      </c>
      <c r="D22" s="12">
        <v>166</v>
      </c>
      <c r="E22" s="1"/>
      <c r="F22" s="18" t="s">
        <v>138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41803</v>
      </c>
      <c r="B23" s="1" t="s">
        <v>48</v>
      </c>
      <c r="C23" s="1" t="s">
        <v>49</v>
      </c>
      <c r="D23" s="12">
        <v>300</v>
      </c>
      <c r="E23" s="1"/>
      <c r="F23" s="27" t="s">
        <v>139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41803</v>
      </c>
      <c r="B24" s="1" t="s">
        <v>51</v>
      </c>
      <c r="C24" s="1" t="s">
        <v>52</v>
      </c>
      <c r="D24" s="12">
        <v>95</v>
      </c>
      <c r="E24" s="1"/>
      <c r="F24" s="18" t="s">
        <v>140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34</v>
      </c>
      <c r="C25" s="1" t="s">
        <v>54</v>
      </c>
      <c r="D25" s="12">
        <v>0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41792</v>
      </c>
      <c r="B26" s="1" t="s">
        <v>45</v>
      </c>
      <c r="C26" s="1" t="s">
        <v>55</v>
      </c>
      <c r="D26" s="12">
        <v>25</v>
      </c>
      <c r="E26" s="1"/>
      <c r="F26" s="18" t="s">
        <v>141</v>
      </c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2" t="s">
        <v>56</v>
      </c>
      <c r="D28" s="28">
        <f>SUM(D3:D26)</f>
        <v>2785.8599999999997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31"/>
      <c r="G30" s="29"/>
      <c r="H30" s="29"/>
      <c r="I30" s="29"/>
      <c r="J30" s="29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3518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D31-D28</f>
        <v>732.14000000000033</v>
      </c>
      <c r="E32" s="32"/>
      <c r="F32" s="18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3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2">
        <f>(D32*12)/52</f>
        <v>168.9553846153847</v>
      </c>
      <c r="D35" s="12"/>
      <c r="E35" s="12"/>
      <c r="F35" s="1"/>
      <c r="G35" s="12"/>
      <c r="H35" s="12"/>
      <c r="I35" s="12"/>
      <c r="J35" s="1"/>
      <c r="K35" s="1"/>
      <c r="L35" s="1"/>
      <c r="M35" s="1"/>
      <c r="N35" s="1"/>
    </row>
    <row r="36" spans="2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1"/>
      <c r="C39" s="34">
        <v>150</v>
      </c>
      <c r="D39" s="12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2">
        <f>C35-C39-C40</f>
        <v>-21.044615384615298</v>
      </c>
      <c r="D41" s="12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18"/>
      <c r="G43" s="1"/>
      <c r="H43" s="1"/>
      <c r="I43" s="1"/>
      <c r="J43" s="1"/>
      <c r="K43" s="1"/>
      <c r="L43" s="1"/>
      <c r="M43" s="1"/>
      <c r="N43" s="1"/>
    </row>
    <row r="45" spans="2:14">
      <c r="G45" s="1">
        <v>1717.96</v>
      </c>
      <c r="H45" s="1" t="s">
        <v>112</v>
      </c>
    </row>
    <row r="46" spans="2:14">
      <c r="G46" s="1">
        <f>G45*26</f>
        <v>44666.96</v>
      </c>
      <c r="H46" s="1" t="s">
        <v>113</v>
      </c>
    </row>
    <row r="47" spans="2:14">
      <c r="G47" s="1">
        <f>G46/12</f>
        <v>3722.2466666666664</v>
      </c>
      <c r="H47" s="1" t="s">
        <v>114</v>
      </c>
    </row>
  </sheetData>
  <mergeCells count="1">
    <mergeCell ref="A1:D1"/>
  </mergeCells>
  <hyperlinks>
    <hyperlink ref="G11" r:id="rId1" xr:uid="{00000000-0004-0000-05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7"/>
  <sheetViews>
    <sheetView zoomScaleNormal="100" workbookViewId="0">
      <selection activeCell="N25" sqref="N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142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41820</v>
      </c>
      <c r="B3" s="7" t="s">
        <v>6</v>
      </c>
      <c r="C3" s="1" t="s">
        <v>131</v>
      </c>
      <c r="D3" s="8">
        <v>1258</v>
      </c>
      <c r="E3" s="9"/>
      <c r="F3" s="10" t="s">
        <v>143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41820</v>
      </c>
      <c r="B4" s="7" t="s">
        <v>10</v>
      </c>
      <c r="C4" s="1" t="s">
        <v>11</v>
      </c>
      <c r="D4" s="12">
        <v>50</v>
      </c>
      <c r="E4" s="9"/>
      <c r="F4" s="36" t="s">
        <v>144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41820</v>
      </c>
      <c r="B5" s="7" t="s">
        <v>12</v>
      </c>
      <c r="C5" s="1" t="s">
        <v>13</v>
      </c>
      <c r="D5" s="12">
        <v>130.19999999999999</v>
      </c>
      <c r="E5" s="9"/>
      <c r="F5" s="15" t="s">
        <v>145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41820</v>
      </c>
      <c r="B6" s="7" t="s">
        <v>15</v>
      </c>
      <c r="C6" s="1" t="s">
        <v>16</v>
      </c>
      <c r="D6" s="12">
        <v>39</v>
      </c>
      <c r="E6" s="12"/>
      <c r="F6" t="s">
        <v>146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41820</v>
      </c>
      <c r="B7" s="7" t="s">
        <v>18</v>
      </c>
      <c r="C7" s="1" t="s">
        <v>19</v>
      </c>
      <c r="D7" s="12">
        <v>75.13</v>
      </c>
      <c r="E7" s="12"/>
      <c r="F7">
        <v>68517471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70</v>
      </c>
      <c r="D8" s="12">
        <v>0</v>
      </c>
      <c r="E8" s="9"/>
      <c r="F8" s="17"/>
      <c r="G8" s="16"/>
      <c r="H8" s="7"/>
      <c r="I8" s="7"/>
      <c r="J8" s="7"/>
      <c r="K8" s="7"/>
      <c r="L8" s="7"/>
      <c r="M8" s="7"/>
      <c r="N8" s="7"/>
    </row>
    <row r="9" spans="1:14">
      <c r="A9" s="6">
        <v>41831</v>
      </c>
      <c r="B9" s="7" t="s">
        <v>21</v>
      </c>
      <c r="C9" s="1" t="s">
        <v>23</v>
      </c>
      <c r="D9" s="12">
        <v>236</v>
      </c>
      <c r="E9" s="9"/>
      <c r="F9" s="18" t="s">
        <v>147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41831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41831</v>
      </c>
      <c r="B11" s="7" t="s">
        <v>21</v>
      </c>
      <c r="C11" s="1" t="s">
        <v>121</v>
      </c>
      <c r="D11" s="12">
        <v>41.11</v>
      </c>
      <c r="E11" s="12"/>
      <c r="F11" s="18"/>
      <c r="G11" s="35" t="s">
        <v>74</v>
      </c>
      <c r="H11" s="1"/>
      <c r="I11" s="1"/>
      <c r="J11" s="1"/>
      <c r="K11" s="1"/>
      <c r="L11" s="1"/>
      <c r="M11" s="1"/>
      <c r="N11" s="1"/>
    </row>
    <row r="12" spans="1:14">
      <c r="A12" s="6">
        <v>41831</v>
      </c>
      <c r="B12" s="7" t="s">
        <v>27</v>
      </c>
      <c r="C12" s="1" t="s">
        <v>28</v>
      </c>
      <c r="D12" s="12">
        <v>44.95</v>
      </c>
      <c r="E12" s="9"/>
      <c r="F12" s="10" t="s">
        <v>148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 t="s">
        <v>9</v>
      </c>
      <c r="B13" s="7" t="s">
        <v>27</v>
      </c>
      <c r="C13" s="1" t="s">
        <v>30</v>
      </c>
      <c r="D13" s="12">
        <v>0</v>
      </c>
      <c r="E13" s="9"/>
      <c r="F13" s="10"/>
      <c r="G13" s="20"/>
      <c r="H13" s="11"/>
      <c r="I13" s="11"/>
      <c r="J13" s="11"/>
      <c r="K13" s="11"/>
      <c r="L13" s="11"/>
      <c r="M13" s="11"/>
      <c r="N13" s="11"/>
    </row>
    <row r="14" spans="1:14">
      <c r="A14" s="6">
        <v>41831</v>
      </c>
      <c r="B14" s="7" t="s">
        <v>31</v>
      </c>
      <c r="C14" s="1" t="s">
        <v>32</v>
      </c>
      <c r="D14" s="12">
        <v>129.22</v>
      </c>
      <c r="E14" s="9"/>
      <c r="F14" s="17"/>
      <c r="G14" s="7"/>
      <c r="H14" s="7"/>
      <c r="I14" s="7"/>
      <c r="J14" s="7"/>
      <c r="K14" s="7"/>
      <c r="L14" s="7"/>
      <c r="M14" s="7"/>
      <c r="N14" s="7"/>
    </row>
    <row r="15" spans="1:14">
      <c r="A15" s="6">
        <v>41851</v>
      </c>
      <c r="B15" s="7" t="s">
        <v>34</v>
      </c>
      <c r="C15" s="1" t="s">
        <v>35</v>
      </c>
      <c r="D15" s="12">
        <v>85</v>
      </c>
      <c r="E15" s="12"/>
      <c r="F15" s="38">
        <v>32229963</v>
      </c>
      <c r="G15" s="11"/>
      <c r="H15" s="11"/>
      <c r="I15" s="11"/>
      <c r="J15" s="11"/>
      <c r="K15" s="11"/>
      <c r="L15" s="11"/>
      <c r="M15" s="11"/>
      <c r="N15" s="11"/>
    </row>
    <row r="16" spans="1:14">
      <c r="A16" s="1"/>
      <c r="B16" s="7"/>
      <c r="C16" s="1"/>
      <c r="D16" s="1"/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2">
        <v>0</v>
      </c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2" t="s">
        <v>37</v>
      </c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9</v>
      </c>
      <c r="B19" s="1" t="s">
        <v>38</v>
      </c>
      <c r="C19" s="1" t="s">
        <v>39</v>
      </c>
      <c r="D19" s="23">
        <v>0</v>
      </c>
      <c r="E19" s="1"/>
      <c r="F19" s="24"/>
      <c r="G19" s="1"/>
      <c r="H19" s="1"/>
      <c r="I19" s="1"/>
      <c r="J19" s="1"/>
      <c r="K19" s="1"/>
      <c r="L19" s="1"/>
      <c r="M19" s="1"/>
      <c r="N19" s="1"/>
    </row>
    <row r="20" spans="1:14" ht="15.75">
      <c r="A20" s="6" t="s">
        <v>9</v>
      </c>
      <c r="B20" s="1" t="s">
        <v>27</v>
      </c>
      <c r="C20" s="1" t="s">
        <v>41</v>
      </c>
      <c r="D20" s="12">
        <v>0</v>
      </c>
      <c r="E20" s="1"/>
      <c r="F20" s="25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41831</v>
      </c>
      <c r="B21" s="1" t="s">
        <v>27</v>
      </c>
      <c r="C21" s="1" t="s">
        <v>43</v>
      </c>
      <c r="D21" s="12">
        <v>81</v>
      </c>
      <c r="E21" s="1"/>
      <c r="F21" s="37">
        <v>183729125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41820</v>
      </c>
      <c r="B22" s="1" t="s">
        <v>45</v>
      </c>
      <c r="C22" s="1" t="s">
        <v>46</v>
      </c>
      <c r="D22" s="12">
        <v>158</v>
      </c>
      <c r="E22" s="1"/>
      <c r="F22" s="18" t="s">
        <v>149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41831</v>
      </c>
      <c r="B23" s="1" t="s">
        <v>48</v>
      </c>
      <c r="C23" s="1" t="s">
        <v>49</v>
      </c>
      <c r="D23" s="12">
        <v>300</v>
      </c>
      <c r="E23" s="1"/>
      <c r="F23" s="27" t="s">
        <v>150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41831</v>
      </c>
      <c r="B24" s="1" t="s">
        <v>51</v>
      </c>
      <c r="C24" s="1" t="s">
        <v>52</v>
      </c>
      <c r="D24" s="12">
        <v>95</v>
      </c>
      <c r="E24" s="1"/>
      <c r="F24" s="18" t="s">
        <v>151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34</v>
      </c>
      <c r="C25" s="1" t="s">
        <v>54</v>
      </c>
      <c r="D25" s="12">
        <v>0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41820</v>
      </c>
      <c r="B26" s="1" t="s">
        <v>45</v>
      </c>
      <c r="C26" s="1" t="s">
        <v>55</v>
      </c>
      <c r="D26" s="12">
        <v>35</v>
      </c>
      <c r="E26" s="1"/>
      <c r="F26" s="26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2" t="s">
        <v>56</v>
      </c>
      <c r="D28" s="28">
        <f>SUM(D3:D26)</f>
        <v>2787.8599999999997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31"/>
      <c r="G30" s="29"/>
      <c r="H30" s="29"/>
      <c r="I30" s="29"/>
      <c r="J30" s="29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3619</v>
      </c>
      <c r="E31" s="30"/>
      <c r="F31" s="31"/>
      <c r="G31" s="29"/>
      <c r="H31" s="29"/>
      <c r="I31" s="29"/>
      <c r="J31" s="29"/>
      <c r="K31" s="29">
        <f>J33+40</f>
        <v>1849.49</v>
      </c>
      <c r="L31" s="29"/>
      <c r="M31" s="29"/>
      <c r="N31" s="29"/>
    </row>
    <row r="32" spans="1:14">
      <c r="A32" s="1"/>
      <c r="B32" s="1"/>
      <c r="C32" s="1" t="s">
        <v>60</v>
      </c>
      <c r="D32" s="32">
        <f>D31-D28</f>
        <v>831.14000000000033</v>
      </c>
      <c r="E32" s="32"/>
      <c r="F32" s="18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>
        <v>1809.49</v>
      </c>
      <c r="K33" s="1"/>
      <c r="L33" s="1"/>
      <c r="M33" s="1"/>
      <c r="N33" s="1"/>
    </row>
    <row r="34" spans="2:14">
      <c r="B34" s="1"/>
      <c r="C34" s="33"/>
      <c r="D34" s="12"/>
      <c r="E34" s="12"/>
      <c r="F34" s="1"/>
      <c r="G34" s="1"/>
      <c r="H34" s="1"/>
      <c r="I34" s="1"/>
      <c r="J34" s="1">
        <f>J33*2</f>
        <v>3618.98</v>
      </c>
      <c r="K34" s="1"/>
      <c r="L34" s="1"/>
      <c r="M34" s="1"/>
      <c r="N34" s="1"/>
    </row>
    <row r="35" spans="2:14">
      <c r="B35" s="1"/>
      <c r="C35" s="32">
        <f>(D32*12)/52</f>
        <v>191.80153846153854</v>
      </c>
      <c r="D35" s="12"/>
      <c r="E35" s="12"/>
      <c r="F35" s="1"/>
      <c r="G35" s="12"/>
      <c r="H35" s="12"/>
      <c r="I35" s="12"/>
      <c r="J35" s="1"/>
      <c r="K35" s="1"/>
      <c r="L35" s="1"/>
      <c r="M35" s="1"/>
      <c r="N35" s="1"/>
    </row>
    <row r="36" spans="2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1"/>
      <c r="C39" s="34">
        <v>150</v>
      </c>
      <c r="D39" s="12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2">
        <f>C35-C39-C40</f>
        <v>1.8015384615385415</v>
      </c>
      <c r="D41" s="12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18"/>
      <c r="G43" s="1"/>
      <c r="H43" s="1"/>
      <c r="I43" s="1"/>
      <c r="J43" s="1"/>
      <c r="K43" s="1"/>
      <c r="L43" s="1"/>
      <c r="M43" s="1"/>
      <c r="N43" s="1"/>
    </row>
    <row r="45" spans="2:14">
      <c r="G45" s="1">
        <v>1717.96</v>
      </c>
      <c r="H45" s="1" t="s">
        <v>112</v>
      </c>
    </row>
    <row r="46" spans="2:14">
      <c r="G46" s="1">
        <f>G45*26</f>
        <v>44666.96</v>
      </c>
      <c r="H46" s="1" t="s">
        <v>113</v>
      </c>
    </row>
    <row r="47" spans="2:14">
      <c r="G47" s="1">
        <f>G46/12</f>
        <v>3722.2466666666664</v>
      </c>
      <c r="H47" s="1" t="s">
        <v>114</v>
      </c>
    </row>
  </sheetData>
  <mergeCells count="1">
    <mergeCell ref="A1:D1"/>
  </mergeCells>
  <hyperlinks>
    <hyperlink ref="G11" r:id="rId1" xr:uid="{00000000-0004-0000-06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7"/>
  <sheetViews>
    <sheetView zoomScaleNormal="100" workbookViewId="0">
      <selection activeCell="N25" sqref="N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152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41851</v>
      </c>
      <c r="B3" s="7" t="s">
        <v>6</v>
      </c>
      <c r="C3" s="1" t="s">
        <v>131</v>
      </c>
      <c r="D3" s="8">
        <v>1258</v>
      </c>
      <c r="E3" s="9"/>
      <c r="F3" s="10"/>
      <c r="G3" s="11"/>
      <c r="H3" s="11"/>
      <c r="I3" s="11"/>
      <c r="J3" s="11"/>
      <c r="K3" s="11"/>
      <c r="L3" s="11"/>
      <c r="M3" s="11"/>
      <c r="N3" s="11"/>
    </row>
    <row r="4" spans="1:14">
      <c r="A4" s="6">
        <v>41852</v>
      </c>
      <c r="B4" s="7" t="s">
        <v>10</v>
      </c>
      <c r="C4" s="1" t="s">
        <v>11</v>
      </c>
      <c r="D4" s="12">
        <v>50</v>
      </c>
      <c r="E4" s="9"/>
      <c r="F4" s="36" t="s">
        <v>153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41852</v>
      </c>
      <c r="B5" s="7" t="s">
        <v>12</v>
      </c>
      <c r="C5" s="1" t="s">
        <v>13</v>
      </c>
      <c r="D5" s="12">
        <v>130.19999999999999</v>
      </c>
      <c r="E5" s="9"/>
      <c r="F5" s="15" t="s">
        <v>154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41852</v>
      </c>
      <c r="B6" s="7" t="s">
        <v>18</v>
      </c>
      <c r="C6" s="1" t="s">
        <v>19</v>
      </c>
      <c r="D6" s="12">
        <v>75.13</v>
      </c>
      <c r="E6" s="12"/>
      <c r="F6">
        <v>69611304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41865</v>
      </c>
      <c r="B7" s="7" t="s">
        <v>155</v>
      </c>
      <c r="C7" s="1" t="s">
        <v>16</v>
      </c>
      <c r="D7" s="12">
        <v>81</v>
      </c>
      <c r="E7" s="12"/>
      <c r="F7" t="s">
        <v>156</v>
      </c>
      <c r="G7" s="11"/>
      <c r="H7" s="11"/>
      <c r="I7" s="11"/>
      <c r="J7" s="11"/>
      <c r="K7" s="11"/>
      <c r="L7" s="11"/>
      <c r="M7" s="11"/>
      <c r="N7" s="11"/>
    </row>
    <row r="8" spans="1:14">
      <c r="A8" s="6">
        <v>41874</v>
      </c>
      <c r="B8" s="7" t="s">
        <v>21</v>
      </c>
      <c r="C8" s="1" t="s">
        <v>70</v>
      </c>
      <c r="D8" s="12">
        <v>0</v>
      </c>
      <c r="E8" s="9"/>
      <c r="F8" s="17" t="s">
        <v>157</v>
      </c>
      <c r="G8" s="16"/>
      <c r="H8" s="7"/>
      <c r="I8" s="7"/>
      <c r="J8" s="7"/>
      <c r="K8" s="7"/>
      <c r="L8" s="7"/>
      <c r="M8" s="7"/>
      <c r="N8" s="7"/>
    </row>
    <row r="9" spans="1:14">
      <c r="A9" s="6">
        <v>41865</v>
      </c>
      <c r="B9" s="7" t="s">
        <v>21</v>
      </c>
      <c r="C9" s="1" t="s">
        <v>23</v>
      </c>
      <c r="D9" s="12">
        <v>236</v>
      </c>
      <c r="E9" s="9"/>
      <c r="F9" s="18" t="s">
        <v>158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41865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41865</v>
      </c>
      <c r="B11" s="7" t="s">
        <v>21</v>
      </c>
      <c r="C11" s="1" t="s">
        <v>121</v>
      </c>
      <c r="D11" s="12">
        <v>41.11</v>
      </c>
      <c r="E11" s="12"/>
      <c r="F11" s="18"/>
      <c r="G11" s="35" t="s">
        <v>74</v>
      </c>
      <c r="H11" s="1"/>
      <c r="I11" s="1"/>
      <c r="J11" s="1"/>
      <c r="K11" s="1"/>
      <c r="L11" s="1"/>
      <c r="M11" s="1"/>
      <c r="N11" s="1"/>
    </row>
    <row r="12" spans="1:14">
      <c r="A12" s="6">
        <v>41865</v>
      </c>
      <c r="B12" s="7" t="s">
        <v>27</v>
      </c>
      <c r="C12" s="1" t="s">
        <v>28</v>
      </c>
      <c r="D12" s="12">
        <v>44.95</v>
      </c>
      <c r="E12" s="9"/>
      <c r="F12" s="10" t="s">
        <v>159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 t="s">
        <v>9</v>
      </c>
      <c r="B13" s="7" t="s">
        <v>27</v>
      </c>
      <c r="C13" s="1" t="s">
        <v>30</v>
      </c>
      <c r="D13" s="12">
        <v>0</v>
      </c>
      <c r="E13" s="9"/>
      <c r="F13" s="10"/>
      <c r="G13" s="20"/>
      <c r="H13" s="11"/>
      <c r="I13" s="11"/>
      <c r="J13" s="11"/>
      <c r="K13" s="11"/>
      <c r="L13" s="11"/>
      <c r="M13" s="11"/>
      <c r="N13" s="11"/>
    </row>
    <row r="14" spans="1:14">
      <c r="A14" s="6">
        <v>41871</v>
      </c>
      <c r="B14" s="7" t="s">
        <v>31</v>
      </c>
      <c r="C14" s="1" t="s">
        <v>32</v>
      </c>
      <c r="D14" s="12">
        <v>129.22</v>
      </c>
      <c r="E14" s="9"/>
      <c r="F14" s="17" t="s">
        <v>160</v>
      </c>
      <c r="G14" s="7"/>
      <c r="H14" s="7"/>
      <c r="I14" s="7"/>
      <c r="J14" s="7"/>
      <c r="K14" s="7"/>
      <c r="L14" s="7"/>
      <c r="M14" s="7"/>
      <c r="N14" s="7"/>
    </row>
    <row r="15" spans="1:14">
      <c r="A15" s="6">
        <v>41874</v>
      </c>
      <c r="B15" s="7" t="s">
        <v>34</v>
      </c>
      <c r="C15" s="1" t="s">
        <v>35</v>
      </c>
      <c r="D15" s="12">
        <v>181</v>
      </c>
      <c r="E15" s="12"/>
      <c r="F15" s="21" t="s">
        <v>161</v>
      </c>
      <c r="G15" s="11" t="s">
        <v>162</v>
      </c>
      <c r="H15" s="11"/>
      <c r="I15" s="11"/>
      <c r="J15" s="11"/>
      <c r="K15" s="11"/>
      <c r="L15" s="11"/>
      <c r="M15" s="11"/>
      <c r="N15" s="11"/>
    </row>
    <row r="16" spans="1:14">
      <c r="A16" s="1"/>
      <c r="B16" s="7"/>
      <c r="C16" s="1"/>
      <c r="D16" s="1"/>
      <c r="E16" s="1"/>
      <c r="F16" s="18"/>
      <c r="G16" s="11" t="s">
        <v>163</v>
      </c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2">
        <v>0</v>
      </c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2" t="s">
        <v>37</v>
      </c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6">
        <v>41859</v>
      </c>
      <c r="B19" s="1" t="s">
        <v>45</v>
      </c>
      <c r="C19" s="1" t="s">
        <v>55</v>
      </c>
      <c r="D19" s="12">
        <v>25</v>
      </c>
      <c r="E19" s="1"/>
      <c r="F19" s="18" t="s">
        <v>164</v>
      </c>
      <c r="G19" s="1"/>
      <c r="H19" s="1"/>
      <c r="I19" s="1"/>
      <c r="J19" s="1"/>
      <c r="K19" s="1"/>
      <c r="L19" s="1"/>
      <c r="M19" s="1"/>
      <c r="N19" s="1"/>
    </row>
    <row r="20" spans="1:14">
      <c r="A20" s="6">
        <v>41859</v>
      </c>
      <c r="B20" s="1" t="s">
        <v>45</v>
      </c>
      <c r="C20" s="1" t="s">
        <v>46</v>
      </c>
      <c r="D20" s="12">
        <v>166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41865</v>
      </c>
      <c r="B21" s="1" t="s">
        <v>48</v>
      </c>
      <c r="C21" s="1" t="s">
        <v>49</v>
      </c>
      <c r="D21" s="12">
        <v>300</v>
      </c>
      <c r="E21" s="1"/>
      <c r="F21" s="27" t="s">
        <v>165</v>
      </c>
      <c r="G21" s="1"/>
      <c r="H21" s="1"/>
      <c r="I21" s="1"/>
      <c r="J21" s="1"/>
      <c r="K21" s="1"/>
      <c r="L21" s="1"/>
      <c r="M21" s="1"/>
      <c r="N21" s="1"/>
    </row>
    <row r="22" spans="1:14" ht="15.75">
      <c r="A22" s="6" t="s">
        <v>9</v>
      </c>
      <c r="B22" s="1" t="s">
        <v>27</v>
      </c>
      <c r="C22" s="1" t="s">
        <v>41</v>
      </c>
      <c r="D22" s="12">
        <v>0</v>
      </c>
      <c r="E22" s="1"/>
      <c r="F22" s="25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41865</v>
      </c>
      <c r="B23" s="1" t="s">
        <v>27</v>
      </c>
      <c r="C23" s="1" t="s">
        <v>43</v>
      </c>
      <c r="D23" s="12">
        <v>81</v>
      </c>
      <c r="E23" s="1"/>
      <c r="F23" s="37">
        <v>186369363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41865</v>
      </c>
      <c r="B24" s="1" t="s">
        <v>51</v>
      </c>
      <c r="C24" s="1" t="s">
        <v>52</v>
      </c>
      <c r="D24" s="12">
        <v>95</v>
      </c>
      <c r="E24" s="1"/>
      <c r="F24" s="18" t="s">
        <v>166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38</v>
      </c>
      <c r="C25" s="1" t="s">
        <v>39</v>
      </c>
      <c r="D25" s="23">
        <v>0</v>
      </c>
      <c r="E25" s="1"/>
      <c r="F25" s="24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34</v>
      </c>
      <c r="C26" s="1" t="s">
        <v>54</v>
      </c>
      <c r="D26" s="12">
        <v>0</v>
      </c>
      <c r="E26" s="1"/>
      <c r="F26" s="18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2" t="s">
        <v>56</v>
      </c>
      <c r="D28" s="28">
        <f>SUM(D3:D26)</f>
        <v>2923.8599999999997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31"/>
      <c r="G30" s="29"/>
      <c r="H30" s="29"/>
      <c r="I30" s="29"/>
      <c r="J30" s="29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3619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D31-D28</f>
        <v>695.14000000000033</v>
      </c>
      <c r="E32" s="32"/>
      <c r="F32" s="18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3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2">
        <f>(D32*12)/52</f>
        <v>160.41692307692315</v>
      </c>
      <c r="D35" s="12"/>
      <c r="E35" s="12"/>
      <c r="F35" s="1"/>
      <c r="G35" s="12"/>
      <c r="H35" s="12"/>
      <c r="I35" s="12"/>
      <c r="J35" s="1"/>
      <c r="K35" s="1"/>
      <c r="L35" s="1"/>
      <c r="M35" s="1"/>
      <c r="N35" s="1"/>
    </row>
    <row r="36" spans="2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1"/>
      <c r="C39" s="34">
        <v>150</v>
      </c>
      <c r="D39" s="12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2">
        <f>C35-C39-C40</f>
        <v>-29.583076923076845</v>
      </c>
      <c r="D41" s="12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18"/>
      <c r="G43" s="1"/>
      <c r="H43" s="1"/>
      <c r="I43" s="1"/>
      <c r="J43" s="1"/>
      <c r="K43" s="1"/>
      <c r="L43" s="1"/>
      <c r="M43" s="1"/>
      <c r="N43" s="1"/>
    </row>
    <row r="45" spans="2:14">
      <c r="G45" s="1">
        <v>1717.96</v>
      </c>
      <c r="H45" s="1" t="s">
        <v>112</v>
      </c>
    </row>
    <row r="46" spans="2:14">
      <c r="G46" s="1">
        <f>G45*26</f>
        <v>44666.96</v>
      </c>
      <c r="H46" s="1" t="s">
        <v>113</v>
      </c>
    </row>
    <row r="47" spans="2:14">
      <c r="G47" s="1">
        <f>G46/12</f>
        <v>3722.2466666666664</v>
      </c>
      <c r="H47" s="1" t="s">
        <v>114</v>
      </c>
    </row>
  </sheetData>
  <mergeCells count="1">
    <mergeCell ref="A1:D1"/>
  </mergeCells>
  <hyperlinks>
    <hyperlink ref="G11" r:id="rId1" xr:uid="{00000000-0004-0000-07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7"/>
  <sheetViews>
    <sheetView zoomScaleNormal="100" workbookViewId="0">
      <selection activeCell="N25" sqref="N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167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41886</v>
      </c>
      <c r="B3" s="7" t="s">
        <v>6</v>
      </c>
      <c r="C3" s="1" t="s">
        <v>131</v>
      </c>
      <c r="D3" s="8">
        <v>1258</v>
      </c>
      <c r="E3" s="9"/>
      <c r="F3" s="39" t="s">
        <v>168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41883</v>
      </c>
      <c r="B4" s="7" t="s">
        <v>10</v>
      </c>
      <c r="C4" s="1" t="s">
        <v>11</v>
      </c>
      <c r="D4" s="12">
        <v>50</v>
      </c>
      <c r="E4" s="9"/>
      <c r="F4" s="36" t="s">
        <v>169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41886</v>
      </c>
      <c r="B5" s="7" t="s">
        <v>12</v>
      </c>
      <c r="C5" s="1" t="s">
        <v>13</v>
      </c>
      <c r="D5" s="12">
        <v>130.19999999999999</v>
      </c>
      <c r="E5" s="9"/>
      <c r="F5" s="40" t="s">
        <v>170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41888</v>
      </c>
      <c r="B6" s="7" t="s">
        <v>18</v>
      </c>
      <c r="C6" s="1" t="s">
        <v>19</v>
      </c>
      <c r="D6" s="12">
        <v>75.13</v>
      </c>
      <c r="E6" s="12"/>
      <c r="F6">
        <v>70838346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41901</v>
      </c>
      <c r="B7" s="7" t="s">
        <v>155</v>
      </c>
      <c r="C7" s="1" t="s">
        <v>16</v>
      </c>
      <c r="D7" s="12">
        <v>81</v>
      </c>
      <c r="E7" s="12"/>
      <c r="F7" t="s">
        <v>171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70</v>
      </c>
      <c r="D8" s="12">
        <v>0</v>
      </c>
      <c r="E8" s="9"/>
      <c r="G8" s="16"/>
      <c r="H8" s="7"/>
      <c r="I8" s="7"/>
      <c r="J8" s="7"/>
      <c r="K8" s="7"/>
      <c r="L8" s="7"/>
      <c r="M8" s="7"/>
      <c r="N8" s="7"/>
    </row>
    <row r="9" spans="1:14">
      <c r="A9" s="6">
        <v>41888</v>
      </c>
      <c r="B9" s="7" t="s">
        <v>21</v>
      </c>
      <c r="C9" s="1" t="s">
        <v>23</v>
      </c>
      <c r="D9" s="12">
        <v>236</v>
      </c>
      <c r="E9" s="9"/>
      <c r="F9" s="18" t="s">
        <v>172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41">
        <v>41902</v>
      </c>
      <c r="B11" s="7" t="s">
        <v>105</v>
      </c>
      <c r="C11" s="1" t="s">
        <v>121</v>
      </c>
      <c r="D11" s="12">
        <v>41.11</v>
      </c>
      <c r="E11" s="12"/>
      <c r="F11" s="18" t="s">
        <v>173</v>
      </c>
      <c r="G11" s="35" t="s">
        <v>74</v>
      </c>
      <c r="H11" s="1"/>
      <c r="I11" s="1"/>
      <c r="J11" s="1"/>
      <c r="K11" s="1"/>
      <c r="L11" s="1"/>
      <c r="M11" s="1"/>
      <c r="N11" s="1"/>
    </row>
    <row r="12" spans="1:14">
      <c r="A12" s="6">
        <v>41901</v>
      </c>
      <c r="B12" s="7" t="s">
        <v>27</v>
      </c>
      <c r="C12" s="1" t="s">
        <v>28</v>
      </c>
      <c r="D12" s="12">
        <v>44.95</v>
      </c>
      <c r="E12" s="9"/>
      <c r="F12" s="10" t="s">
        <v>174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 t="s">
        <v>9</v>
      </c>
      <c r="B13" s="7" t="s">
        <v>27</v>
      </c>
      <c r="C13" s="1" t="s">
        <v>30</v>
      </c>
      <c r="D13" s="12">
        <v>0</v>
      </c>
      <c r="E13" s="9"/>
      <c r="F13" s="10"/>
      <c r="G13" s="20"/>
      <c r="H13" s="11"/>
      <c r="I13" s="11"/>
      <c r="J13" s="11"/>
      <c r="K13" s="11"/>
      <c r="L13" s="11"/>
      <c r="M13" s="11"/>
      <c r="N13" s="11"/>
    </row>
    <row r="14" spans="1:14">
      <c r="A14" s="41">
        <v>41901</v>
      </c>
      <c r="B14" s="7" t="s">
        <v>31</v>
      </c>
      <c r="C14" s="1" t="s">
        <v>32</v>
      </c>
      <c r="D14" s="12">
        <v>129.22</v>
      </c>
      <c r="E14" s="9"/>
      <c r="F14" s="17"/>
      <c r="G14" s="7"/>
      <c r="H14" s="7"/>
      <c r="I14" s="7"/>
      <c r="J14" s="7"/>
      <c r="K14" s="7"/>
      <c r="L14" s="7"/>
      <c r="M14" s="7"/>
      <c r="N14" s="7"/>
    </row>
    <row r="15" spans="1:14">
      <c r="A15" s="41">
        <v>41902</v>
      </c>
      <c r="B15" s="7" t="s">
        <v>34</v>
      </c>
      <c r="C15" s="1" t="s">
        <v>35</v>
      </c>
      <c r="D15" s="12">
        <v>181</v>
      </c>
      <c r="E15" s="12"/>
      <c r="F15" s="21" t="s">
        <v>175</v>
      </c>
      <c r="G15" s="11"/>
      <c r="H15" s="11"/>
      <c r="I15" s="11"/>
      <c r="J15" s="11"/>
      <c r="K15" s="11"/>
      <c r="L15" s="11"/>
      <c r="M15" s="11"/>
      <c r="N15" s="11"/>
    </row>
    <row r="16" spans="1:14">
      <c r="A16" s="1"/>
      <c r="B16" s="7"/>
      <c r="C16" s="1"/>
      <c r="D16" s="1"/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2">
        <v>0</v>
      </c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2" t="s">
        <v>37</v>
      </c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6">
        <v>41888</v>
      </c>
      <c r="B19" s="1" t="s">
        <v>45</v>
      </c>
      <c r="C19" s="1" t="s">
        <v>55</v>
      </c>
      <c r="D19" s="12">
        <v>25</v>
      </c>
      <c r="E19" s="1"/>
      <c r="F19" s="18" t="s">
        <v>176</v>
      </c>
      <c r="G19" s="1"/>
      <c r="H19" s="1"/>
      <c r="I19" s="1"/>
      <c r="J19" s="1"/>
      <c r="K19" s="1"/>
      <c r="L19" s="1"/>
      <c r="M19" s="1"/>
      <c r="N19" s="1"/>
    </row>
    <row r="20" spans="1:14">
      <c r="A20" s="6">
        <v>41888</v>
      </c>
      <c r="B20" s="1" t="s">
        <v>45</v>
      </c>
      <c r="C20" s="1" t="s">
        <v>46</v>
      </c>
      <c r="D20" s="12">
        <v>0</v>
      </c>
      <c r="E20" s="1"/>
      <c r="F20" s="18" t="s">
        <v>177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41888</v>
      </c>
      <c r="B21" s="1" t="s">
        <v>48</v>
      </c>
      <c r="C21" s="1" t="s">
        <v>49</v>
      </c>
      <c r="D21" s="12">
        <v>333</v>
      </c>
      <c r="E21" s="1"/>
      <c r="F21" s="27" t="s">
        <v>178</v>
      </c>
      <c r="G21" s="1"/>
      <c r="H21" s="1"/>
      <c r="I21" s="1"/>
      <c r="J21" s="1"/>
      <c r="K21" s="1"/>
      <c r="L21" s="1"/>
      <c r="M21" s="1"/>
      <c r="N21" s="1"/>
    </row>
    <row r="22" spans="1:14" ht="15.75">
      <c r="A22" s="6">
        <v>41896</v>
      </c>
      <c r="B22" s="1" t="s">
        <v>27</v>
      </c>
      <c r="C22" s="1" t="s">
        <v>41</v>
      </c>
      <c r="D22" s="12">
        <v>66</v>
      </c>
      <c r="E22" s="1"/>
      <c r="F22" s="25" t="s">
        <v>179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41896</v>
      </c>
      <c r="B23" s="1" t="s">
        <v>27</v>
      </c>
      <c r="C23" s="1" t="s">
        <v>43</v>
      </c>
      <c r="D23" s="12">
        <v>150</v>
      </c>
      <c r="E23" s="1"/>
      <c r="F23" s="37">
        <v>188857506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41896</v>
      </c>
      <c r="B24" s="1" t="s">
        <v>51</v>
      </c>
      <c r="C24" s="1" t="s">
        <v>52</v>
      </c>
      <c r="D24" s="12">
        <v>95</v>
      </c>
      <c r="E24" s="1"/>
      <c r="F24" s="18" t="s">
        <v>180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38</v>
      </c>
      <c r="C25" s="1" t="s">
        <v>39</v>
      </c>
      <c r="D25" s="23">
        <v>0</v>
      </c>
      <c r="E25" s="1"/>
      <c r="F25" s="24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34</v>
      </c>
      <c r="C26" s="1" t="s">
        <v>54</v>
      </c>
      <c r="D26" s="12">
        <v>0</v>
      </c>
      <c r="E26" s="1"/>
      <c r="F26" s="18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2" t="s">
        <v>56</v>
      </c>
      <c r="D28" s="28">
        <f>SUM(D3:D26)</f>
        <v>2925.8599999999997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31"/>
      <c r="G30" s="29"/>
      <c r="H30" s="29"/>
      <c r="I30" s="29"/>
      <c r="J30" s="29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3910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D31-D28</f>
        <v>984.14000000000033</v>
      </c>
      <c r="E32" s="32"/>
      <c r="F32" s="18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3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2">
        <f>(D32*12)/52</f>
        <v>227.10923076923083</v>
      </c>
      <c r="D35" s="12"/>
      <c r="E35" s="12"/>
      <c r="F35" s="1"/>
      <c r="G35" s="12"/>
      <c r="H35" s="12"/>
      <c r="I35" s="12"/>
      <c r="J35" s="1"/>
      <c r="K35" s="1"/>
      <c r="L35" s="1"/>
      <c r="M35" s="1"/>
      <c r="N35" s="1"/>
    </row>
    <row r="36" spans="2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1"/>
      <c r="C39" s="34">
        <v>150</v>
      </c>
      <c r="D39" s="12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2">
        <f>C35-C39-C40</f>
        <v>37.109230769230834</v>
      </c>
      <c r="D41" s="12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18"/>
      <c r="G43" s="1"/>
      <c r="H43" s="1"/>
      <c r="I43" s="1"/>
      <c r="J43" s="1"/>
      <c r="K43" s="1"/>
      <c r="L43" s="1"/>
      <c r="M43" s="1"/>
      <c r="N43" s="1"/>
    </row>
    <row r="45" spans="2:14">
      <c r="G45" s="1">
        <v>1955</v>
      </c>
      <c r="H45" s="1" t="s">
        <v>112</v>
      </c>
    </row>
    <row r="46" spans="2:14">
      <c r="G46" s="1">
        <f>G45*26</f>
        <v>50830</v>
      </c>
      <c r="H46" s="1" t="s">
        <v>113</v>
      </c>
    </row>
    <row r="47" spans="2:14">
      <c r="G47" s="1">
        <f>G46/12</f>
        <v>4235.833333333333</v>
      </c>
      <c r="H47" s="1" t="s">
        <v>114</v>
      </c>
    </row>
  </sheetData>
  <mergeCells count="1">
    <mergeCell ref="A1:D1"/>
  </mergeCells>
  <hyperlinks>
    <hyperlink ref="G11" r:id="rId1" xr:uid="{00000000-0004-0000-08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8"/>
  <sheetViews>
    <sheetView zoomScaleNormal="100" workbookViewId="0">
      <selection activeCell="N25" sqref="N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181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41914</v>
      </c>
      <c r="B3" s="7" t="s">
        <v>6</v>
      </c>
      <c r="C3" s="1" t="s">
        <v>131</v>
      </c>
      <c r="D3" s="8">
        <v>1220.5</v>
      </c>
      <c r="E3" s="9"/>
      <c r="F3" s="39" t="s">
        <v>182</v>
      </c>
      <c r="G3" s="11"/>
      <c r="H3" s="11"/>
      <c r="I3" s="11"/>
      <c r="J3" s="11"/>
      <c r="K3" s="11"/>
      <c r="L3" s="11"/>
      <c r="M3" s="11"/>
      <c r="N3" s="11"/>
    </row>
    <row r="4" spans="1:14">
      <c r="A4" s="6" t="s">
        <v>9</v>
      </c>
      <c r="B4" s="7" t="s">
        <v>10</v>
      </c>
      <c r="C4" s="1" t="s">
        <v>11</v>
      </c>
      <c r="D4" s="12">
        <v>0</v>
      </c>
      <c r="E4" s="9"/>
      <c r="F4" s="36"/>
      <c r="G4" s="11"/>
      <c r="H4" s="11"/>
      <c r="I4" s="11"/>
      <c r="J4" s="11"/>
      <c r="K4" s="11"/>
      <c r="L4" s="11"/>
      <c r="M4" s="11"/>
      <c r="N4" s="11"/>
    </row>
    <row r="5" spans="1:14">
      <c r="A5" s="6">
        <v>41914</v>
      </c>
      <c r="B5" s="7" t="s">
        <v>12</v>
      </c>
      <c r="C5" s="1" t="s">
        <v>13</v>
      </c>
      <c r="D5" s="12">
        <v>130.19999999999999</v>
      </c>
      <c r="E5" s="9"/>
      <c r="F5" s="40" t="s">
        <v>183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41914</v>
      </c>
      <c r="B6" s="7" t="s">
        <v>18</v>
      </c>
      <c r="C6" s="1" t="s">
        <v>19</v>
      </c>
      <c r="D6" s="12">
        <v>75.13</v>
      </c>
      <c r="E6" s="12"/>
      <c r="F6">
        <v>71711678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41929</v>
      </c>
      <c r="B7" s="7" t="s">
        <v>155</v>
      </c>
      <c r="C7" s="1" t="s">
        <v>16</v>
      </c>
      <c r="D7" s="12">
        <v>81</v>
      </c>
      <c r="E7" s="12"/>
      <c r="F7" t="s">
        <v>184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70</v>
      </c>
      <c r="D8" s="12">
        <v>0</v>
      </c>
      <c r="E8" s="9"/>
      <c r="G8" s="16"/>
      <c r="H8" s="7"/>
      <c r="I8" s="7"/>
      <c r="J8" s="7"/>
      <c r="K8" s="7"/>
      <c r="L8" s="7"/>
      <c r="M8" s="7"/>
      <c r="N8" s="7"/>
    </row>
    <row r="9" spans="1:14">
      <c r="A9" s="6">
        <v>41914</v>
      </c>
      <c r="B9" s="7" t="s">
        <v>21</v>
      </c>
      <c r="C9" s="1" t="s">
        <v>23</v>
      </c>
      <c r="D9" s="12">
        <v>236</v>
      </c>
      <c r="E9" s="9"/>
      <c r="F9" s="18" t="s">
        <v>185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41927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41929</v>
      </c>
      <c r="B11" s="7" t="s">
        <v>105</v>
      </c>
      <c r="C11" s="1" t="s">
        <v>186</v>
      </c>
      <c r="D11" s="12">
        <v>41.11</v>
      </c>
      <c r="E11" s="12"/>
      <c r="F11" s="18" t="s">
        <v>187</v>
      </c>
      <c r="G11" s="35" t="s">
        <v>74</v>
      </c>
      <c r="H11" s="1"/>
      <c r="I11" s="1"/>
      <c r="J11" s="1"/>
      <c r="K11" s="1"/>
      <c r="L11" s="1"/>
      <c r="M11" s="1"/>
      <c r="N11" s="1"/>
    </row>
    <row r="12" spans="1:14">
      <c r="A12" s="6">
        <v>41929</v>
      </c>
      <c r="B12" s="7" t="s">
        <v>27</v>
      </c>
      <c r="C12" s="1" t="s">
        <v>28</v>
      </c>
      <c r="D12" s="12">
        <v>44.95</v>
      </c>
      <c r="E12" s="9"/>
      <c r="F12" s="10" t="s">
        <v>188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 t="s">
        <v>9</v>
      </c>
      <c r="B13" s="7" t="s">
        <v>27</v>
      </c>
      <c r="C13" s="1" t="s">
        <v>30</v>
      </c>
      <c r="D13" s="12">
        <v>0</v>
      </c>
      <c r="E13" s="9"/>
      <c r="F13" s="10"/>
      <c r="G13" s="20"/>
      <c r="H13" s="11"/>
      <c r="I13" s="11"/>
      <c r="J13" s="11"/>
      <c r="K13" s="11"/>
      <c r="L13" s="11"/>
      <c r="M13" s="11"/>
      <c r="N13" s="11"/>
    </row>
    <row r="14" spans="1:14">
      <c r="A14" s="6">
        <v>41929</v>
      </c>
      <c r="B14" s="7" t="s">
        <v>31</v>
      </c>
      <c r="C14" s="1" t="s">
        <v>32</v>
      </c>
      <c r="D14" s="12">
        <v>129.22</v>
      </c>
      <c r="E14" s="9"/>
      <c r="F14" s="17"/>
      <c r="G14" s="7"/>
      <c r="H14" s="7"/>
      <c r="I14" s="7"/>
      <c r="J14" s="7"/>
      <c r="K14" s="7"/>
      <c r="L14" s="7"/>
      <c r="M14" s="7"/>
      <c r="N14" s="7"/>
    </row>
    <row r="15" spans="1:14">
      <c r="A15" s="6">
        <v>41929</v>
      </c>
      <c r="B15" s="7" t="s">
        <v>34</v>
      </c>
      <c r="C15" s="1" t="s">
        <v>35</v>
      </c>
      <c r="D15" s="12">
        <v>200</v>
      </c>
      <c r="E15" s="12"/>
      <c r="F15" s="21" t="s">
        <v>189</v>
      </c>
      <c r="G15" s="11"/>
      <c r="H15" s="11"/>
      <c r="I15" s="11"/>
      <c r="J15" s="11"/>
      <c r="K15" s="11"/>
      <c r="L15" s="11"/>
      <c r="M15" s="11"/>
      <c r="N15" s="11"/>
    </row>
    <row r="16" spans="1:14">
      <c r="A16" s="1"/>
      <c r="B16" s="7"/>
      <c r="C16" s="1"/>
      <c r="D16" s="1"/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2">
        <v>0</v>
      </c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2" t="s">
        <v>37</v>
      </c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6">
        <v>41914</v>
      </c>
      <c r="B19" s="1" t="s">
        <v>45</v>
      </c>
      <c r="C19" s="1" t="s">
        <v>55</v>
      </c>
      <c r="D19" s="12">
        <v>25</v>
      </c>
      <c r="E19" s="1"/>
      <c r="F19" s="18" t="s">
        <v>190</v>
      </c>
      <c r="G19" s="1"/>
      <c r="H19" s="1"/>
      <c r="I19" s="1"/>
      <c r="J19" s="1"/>
      <c r="K19" s="1"/>
      <c r="L19" s="1"/>
      <c r="M19" s="1"/>
      <c r="N19" s="1"/>
    </row>
    <row r="20" spans="1:14">
      <c r="A20" s="6">
        <v>41929</v>
      </c>
      <c r="B20" s="1" t="s">
        <v>45</v>
      </c>
      <c r="C20" s="1" t="s">
        <v>46</v>
      </c>
      <c r="D20" s="12">
        <v>0</v>
      </c>
      <c r="E20" s="1"/>
      <c r="F20" s="18" t="s">
        <v>191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41928</v>
      </c>
      <c r="B21" s="1" t="s">
        <v>48</v>
      </c>
      <c r="C21" s="1" t="s">
        <v>49</v>
      </c>
      <c r="D21" s="12">
        <v>333</v>
      </c>
      <c r="E21" s="1"/>
      <c r="F21" s="27"/>
      <c r="G21" s="1"/>
      <c r="H21" s="1"/>
      <c r="I21" s="1"/>
      <c r="J21" s="1"/>
      <c r="K21" s="1"/>
      <c r="L21" s="1"/>
      <c r="M21" s="1"/>
      <c r="N21" s="1"/>
    </row>
    <row r="22" spans="1:14" ht="15.75">
      <c r="A22" s="6">
        <v>41929</v>
      </c>
      <c r="B22" s="1" t="s">
        <v>27</v>
      </c>
      <c r="C22" s="1" t="s">
        <v>41</v>
      </c>
      <c r="D22" s="12">
        <v>66</v>
      </c>
      <c r="E22" s="1"/>
      <c r="F22" s="25" t="s">
        <v>192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41929</v>
      </c>
      <c r="B23" s="1" t="s">
        <v>27</v>
      </c>
      <c r="C23" s="1" t="s">
        <v>43</v>
      </c>
      <c r="D23" s="12">
        <v>150</v>
      </c>
      <c r="E23" s="1"/>
      <c r="F23" s="37">
        <v>191515589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41929</v>
      </c>
      <c r="B24" s="1" t="s">
        <v>51</v>
      </c>
      <c r="C24" s="1" t="s">
        <v>52</v>
      </c>
      <c r="D24" s="12">
        <v>102</v>
      </c>
      <c r="E24" s="1"/>
      <c r="F24" s="18" t="s">
        <v>193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38</v>
      </c>
      <c r="C25" s="1" t="s">
        <v>39</v>
      </c>
      <c r="D25" s="23">
        <v>0</v>
      </c>
      <c r="E25" s="1"/>
      <c r="F25" s="24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34</v>
      </c>
      <c r="C26" s="1" t="s">
        <v>54</v>
      </c>
      <c r="D26" s="12">
        <v>0</v>
      </c>
      <c r="E26" s="1"/>
      <c r="F26" s="18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2" t="s">
        <v>56</v>
      </c>
      <c r="D28" s="28">
        <f>SUM(D3:D26)</f>
        <v>2864.3599999999997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31"/>
      <c r="G30" s="29"/>
      <c r="H30" s="29"/>
      <c r="I30" s="29"/>
      <c r="J30" s="29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3910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D31-D28</f>
        <v>1045.6400000000003</v>
      </c>
      <c r="E32" s="32"/>
      <c r="F32" s="18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3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2">
        <f>D32/4</f>
        <v>261.41000000000008</v>
      </c>
      <c r="D35" s="12"/>
      <c r="E35" s="12"/>
      <c r="F35" s="1"/>
      <c r="G35" s="12"/>
      <c r="H35" s="12"/>
      <c r="I35" s="12"/>
      <c r="J35" s="1"/>
      <c r="K35" s="1"/>
      <c r="L35" s="1"/>
      <c r="M35" s="1"/>
      <c r="N35" s="1"/>
    </row>
    <row r="36" spans="2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1"/>
      <c r="C39" s="34">
        <v>150</v>
      </c>
      <c r="D39" s="12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1">
        <v>25</v>
      </c>
      <c r="D41" s="12" t="s">
        <v>194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>
      <c r="B42" s="1"/>
      <c r="C42" s="32">
        <f>C35-C39-C40-C41</f>
        <v>46.410000000000082</v>
      </c>
      <c r="D42" s="12" t="s">
        <v>63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4" spans="2:14">
      <c r="B44" s="1"/>
      <c r="C44" s="1"/>
      <c r="D44" s="1"/>
      <c r="E44" s="1"/>
      <c r="F44" s="18"/>
      <c r="G44" s="1"/>
      <c r="H44" s="1"/>
      <c r="I44" s="1"/>
      <c r="J44" s="1"/>
      <c r="K44" s="1"/>
      <c r="L44" s="1"/>
      <c r="M44" s="1"/>
      <c r="N44" s="1"/>
    </row>
    <row r="46" spans="2:14">
      <c r="G46" s="1">
        <v>1955</v>
      </c>
      <c r="H46" s="1" t="s">
        <v>112</v>
      </c>
    </row>
    <row r="47" spans="2:14">
      <c r="G47" s="1">
        <f>G46*26</f>
        <v>50830</v>
      </c>
      <c r="H47" s="1" t="s">
        <v>113</v>
      </c>
    </row>
    <row r="48" spans="2:14">
      <c r="G48" s="1">
        <f>G47/12</f>
        <v>4235.833333333333</v>
      </c>
      <c r="H48" s="1" t="s">
        <v>114</v>
      </c>
    </row>
  </sheetData>
  <mergeCells count="1">
    <mergeCell ref="A1:D1"/>
  </mergeCells>
  <hyperlinks>
    <hyperlink ref="G11" r:id="rId1" xr:uid="{00000000-0004-0000-09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8"/>
  <sheetViews>
    <sheetView topLeftCell="A4"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195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41944</v>
      </c>
      <c r="B3" s="7" t="s">
        <v>6</v>
      </c>
      <c r="C3" s="1" t="s">
        <v>131</v>
      </c>
      <c r="D3" s="8">
        <v>1220.5</v>
      </c>
      <c r="E3" s="9"/>
      <c r="F3" s="39" t="s">
        <v>196</v>
      </c>
      <c r="G3" s="11"/>
      <c r="H3" s="11"/>
      <c r="I3" s="11"/>
      <c r="J3" s="11"/>
      <c r="K3" s="11"/>
      <c r="L3" s="11"/>
      <c r="M3" s="11"/>
      <c r="N3" s="11"/>
    </row>
    <row r="4" spans="1:14">
      <c r="A4" s="6" t="s">
        <v>9</v>
      </c>
      <c r="B4" s="7" t="s">
        <v>10</v>
      </c>
      <c r="C4" s="1" t="s">
        <v>11</v>
      </c>
      <c r="D4" s="12">
        <v>0</v>
      </c>
      <c r="E4" s="9"/>
      <c r="F4" s="36" t="s">
        <v>9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41944</v>
      </c>
      <c r="B5" s="7" t="s">
        <v>12</v>
      </c>
      <c r="C5" s="1" t="s">
        <v>13</v>
      </c>
      <c r="D5" s="12">
        <v>130.19999999999999</v>
      </c>
      <c r="E5" s="9"/>
      <c r="F5" s="40" t="s">
        <v>197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41944</v>
      </c>
      <c r="B6" s="7" t="s">
        <v>18</v>
      </c>
      <c r="C6" s="1" t="s">
        <v>19</v>
      </c>
      <c r="D6" s="12">
        <v>75.13</v>
      </c>
      <c r="E6" s="12"/>
      <c r="F6">
        <v>72705486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41957</v>
      </c>
      <c r="B7" s="7" t="s">
        <v>155</v>
      </c>
      <c r="C7" s="1" t="s">
        <v>16</v>
      </c>
      <c r="D7" s="12">
        <v>81</v>
      </c>
      <c r="E7" s="12"/>
      <c r="F7" t="s">
        <v>198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70</v>
      </c>
      <c r="D8" s="12">
        <v>0</v>
      </c>
      <c r="E8" s="9"/>
      <c r="F8" s="36" t="s">
        <v>9</v>
      </c>
      <c r="G8" s="16"/>
      <c r="H8" s="7"/>
      <c r="I8" s="7"/>
      <c r="J8" s="7"/>
      <c r="K8" s="7"/>
      <c r="L8" s="7"/>
      <c r="M8" s="7"/>
      <c r="N8" s="7"/>
    </row>
    <row r="9" spans="1:14">
      <c r="A9" s="6">
        <v>41957</v>
      </c>
      <c r="B9" s="7" t="s">
        <v>21</v>
      </c>
      <c r="C9" s="1" t="s">
        <v>23</v>
      </c>
      <c r="D9" s="12">
        <v>236</v>
      </c>
      <c r="E9" s="9"/>
      <c r="F9" s="18" t="s">
        <v>199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41957</v>
      </c>
      <c r="B11" s="7" t="s">
        <v>105</v>
      </c>
      <c r="C11" s="1" t="s">
        <v>186</v>
      </c>
      <c r="D11" s="12">
        <v>41.11</v>
      </c>
      <c r="E11" s="12"/>
      <c r="F11" s="18" t="s">
        <v>200</v>
      </c>
      <c r="G11" s="35" t="s">
        <v>74</v>
      </c>
      <c r="H11" s="1"/>
      <c r="I11" s="1"/>
      <c r="J11" s="1"/>
      <c r="K11" s="1"/>
      <c r="L11" s="1"/>
      <c r="M11" s="1"/>
      <c r="N11" s="1"/>
    </row>
    <row r="12" spans="1:14">
      <c r="A12" s="6">
        <v>41957</v>
      </c>
      <c r="B12" s="7" t="s">
        <v>27</v>
      </c>
      <c r="C12" s="1" t="s">
        <v>28</v>
      </c>
      <c r="D12" s="12">
        <v>44.95</v>
      </c>
      <c r="E12" s="9"/>
      <c r="F12" s="10" t="s">
        <v>201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 t="s">
        <v>9</v>
      </c>
      <c r="B13" s="7" t="s">
        <v>27</v>
      </c>
      <c r="C13" s="1" t="s">
        <v>30</v>
      </c>
      <c r="D13" s="12">
        <v>0</v>
      </c>
      <c r="E13" s="9"/>
      <c r="F13" s="10"/>
      <c r="G13" s="20"/>
      <c r="H13" s="11"/>
      <c r="I13" s="11"/>
      <c r="J13" s="11"/>
      <c r="K13" s="11"/>
      <c r="L13" s="11"/>
      <c r="M13" s="11"/>
      <c r="N13" s="11"/>
    </row>
    <row r="14" spans="1:14">
      <c r="A14" s="6">
        <v>41957</v>
      </c>
      <c r="B14" s="7" t="s">
        <v>31</v>
      </c>
      <c r="C14" s="1" t="s">
        <v>32</v>
      </c>
      <c r="D14" s="12">
        <v>129.22</v>
      </c>
      <c r="E14" s="9"/>
      <c r="F14" s="17"/>
      <c r="G14" s="7"/>
      <c r="H14" s="7"/>
      <c r="I14" s="7"/>
      <c r="J14" s="7"/>
      <c r="K14" s="7"/>
      <c r="L14" s="7"/>
      <c r="M14" s="7"/>
      <c r="N14" s="7"/>
    </row>
    <row r="15" spans="1:14">
      <c r="A15" s="6">
        <v>41957</v>
      </c>
      <c r="B15" s="7" t="s">
        <v>34</v>
      </c>
      <c r="C15" s="1" t="s">
        <v>35</v>
      </c>
      <c r="D15" s="12">
        <v>200</v>
      </c>
      <c r="E15" s="12"/>
      <c r="F15" s="21" t="s">
        <v>202</v>
      </c>
      <c r="G15" s="11"/>
      <c r="H15" s="11"/>
      <c r="I15" s="11"/>
      <c r="J15" s="11"/>
      <c r="K15" s="11"/>
      <c r="L15" s="11"/>
      <c r="M15" s="11"/>
      <c r="N15" s="11"/>
    </row>
    <row r="16" spans="1:14">
      <c r="A16" s="1"/>
      <c r="B16" s="7"/>
      <c r="C16" s="1"/>
      <c r="D16" s="1"/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2">
        <v>0</v>
      </c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2" t="s">
        <v>37</v>
      </c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6">
        <v>41944</v>
      </c>
      <c r="B19" s="1" t="s">
        <v>45</v>
      </c>
      <c r="C19" s="1" t="s">
        <v>55</v>
      </c>
      <c r="D19" s="12">
        <v>25</v>
      </c>
      <c r="E19" s="1"/>
      <c r="F19" s="18" t="s">
        <v>203</v>
      </c>
      <c r="G19" s="1"/>
      <c r="H19" s="1"/>
      <c r="I19" s="1"/>
      <c r="J19" s="1"/>
      <c r="K19" s="1"/>
      <c r="L19" s="1"/>
      <c r="M19" s="1"/>
      <c r="N19" s="1"/>
    </row>
    <row r="20" spans="1:14">
      <c r="A20" s="6" t="s">
        <v>9</v>
      </c>
      <c r="B20" s="1" t="s">
        <v>45</v>
      </c>
      <c r="C20" s="1" t="s">
        <v>46</v>
      </c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/>
      <c r="B21" s="1" t="s">
        <v>48</v>
      </c>
      <c r="C21" s="1" t="s">
        <v>49</v>
      </c>
      <c r="D21" s="12">
        <v>333</v>
      </c>
      <c r="E21" s="1"/>
      <c r="F21" s="27"/>
      <c r="G21" s="1"/>
      <c r="H21" s="1"/>
      <c r="I21" s="1"/>
      <c r="J21" s="1"/>
      <c r="K21" s="1"/>
      <c r="L21" s="1"/>
      <c r="M21" s="1"/>
      <c r="N21" s="1"/>
    </row>
    <row r="22" spans="1:14" ht="15.75">
      <c r="A22" s="6">
        <v>41957</v>
      </c>
      <c r="B22" s="1" t="s">
        <v>27</v>
      </c>
      <c r="C22" s="1" t="s">
        <v>41</v>
      </c>
      <c r="D22" s="12">
        <v>66</v>
      </c>
      <c r="E22" s="1"/>
      <c r="F22" s="25" t="s">
        <v>204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41957</v>
      </c>
      <c r="B23" s="1" t="s">
        <v>27</v>
      </c>
      <c r="C23" s="1" t="s">
        <v>43</v>
      </c>
      <c r="D23" s="12">
        <v>208</v>
      </c>
      <c r="E23" s="1"/>
      <c r="F23" s="37">
        <v>193927418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41957</v>
      </c>
      <c r="B24" s="1" t="s">
        <v>51</v>
      </c>
      <c r="C24" s="1" t="s">
        <v>52</v>
      </c>
      <c r="D24" s="12">
        <v>102</v>
      </c>
      <c r="E24" s="1"/>
      <c r="F24" s="18" t="s">
        <v>205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38</v>
      </c>
      <c r="C25" s="1" t="s">
        <v>39</v>
      </c>
      <c r="D25" s="23">
        <v>0</v>
      </c>
      <c r="E25" s="1"/>
      <c r="F25" s="24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34</v>
      </c>
      <c r="C26" s="1" t="s">
        <v>54</v>
      </c>
      <c r="D26" s="12">
        <v>0</v>
      </c>
      <c r="E26" s="1"/>
      <c r="F26" s="18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2" t="s">
        <v>56</v>
      </c>
      <c r="D28" s="28">
        <f>SUM(D3:D26)</f>
        <v>2922.3599999999997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31"/>
      <c r="G30" s="29"/>
      <c r="H30" s="29"/>
      <c r="I30" s="29"/>
      <c r="J30" s="29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3910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D31-D28</f>
        <v>987.64000000000033</v>
      </c>
      <c r="E32" s="32"/>
      <c r="F32" s="18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3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2">
        <f>D32/4</f>
        <v>246.91000000000008</v>
      </c>
      <c r="D35" s="12"/>
      <c r="E35" s="12"/>
      <c r="F35" s="1"/>
      <c r="G35" s="12"/>
      <c r="H35" s="12"/>
      <c r="I35" s="12"/>
      <c r="J35" s="1"/>
      <c r="K35" s="1"/>
      <c r="L35" s="1"/>
      <c r="M35" s="1"/>
      <c r="N35" s="1"/>
    </row>
    <row r="36" spans="2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1"/>
      <c r="C39" s="34">
        <v>150</v>
      </c>
      <c r="D39" s="12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1">
        <v>25</v>
      </c>
      <c r="D41" s="12" t="s">
        <v>194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>
      <c r="B42" s="1"/>
      <c r="C42" s="32">
        <f>C35-C39-C40-C41</f>
        <v>31.910000000000082</v>
      </c>
      <c r="D42" s="12" t="s">
        <v>63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4" spans="2:14">
      <c r="B44" s="1"/>
      <c r="C44" s="1"/>
      <c r="D44" s="1"/>
      <c r="E44" s="1"/>
      <c r="F44" s="18"/>
      <c r="G44" s="1"/>
      <c r="H44" s="1"/>
      <c r="I44" s="1"/>
      <c r="J44" s="1"/>
      <c r="K44" s="1"/>
      <c r="L44" s="1"/>
      <c r="M44" s="1"/>
      <c r="N44" s="1"/>
    </row>
    <row r="46" spans="2:14">
      <c r="G46" s="1">
        <v>1955</v>
      </c>
      <c r="H46" s="1" t="s">
        <v>112</v>
      </c>
    </row>
    <row r="47" spans="2:14">
      <c r="G47" s="1">
        <f>G46*26</f>
        <v>50830</v>
      </c>
      <c r="H47" s="1" t="s">
        <v>113</v>
      </c>
    </row>
    <row r="48" spans="2:14">
      <c r="G48" s="1">
        <f>G47/12</f>
        <v>4235.833333333333</v>
      </c>
      <c r="H48" s="1" t="s">
        <v>114</v>
      </c>
    </row>
  </sheetData>
  <mergeCells count="1">
    <mergeCell ref="A1:D1"/>
  </mergeCells>
  <hyperlinks>
    <hyperlink ref="G11" r:id="rId1" xr:uid="{00000000-0004-0000-0A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9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195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41971</v>
      </c>
      <c r="B3" s="7" t="s">
        <v>6</v>
      </c>
      <c r="C3" s="1" t="s">
        <v>131</v>
      </c>
      <c r="D3" s="8">
        <v>1220.5</v>
      </c>
      <c r="E3" s="9"/>
      <c r="F3" s="39" t="s">
        <v>206</v>
      </c>
      <c r="G3" s="11"/>
      <c r="H3" s="11"/>
      <c r="I3" s="11"/>
      <c r="J3" s="11"/>
      <c r="K3" s="11"/>
      <c r="L3" s="11"/>
      <c r="M3" s="11"/>
      <c r="N3" s="11"/>
    </row>
    <row r="4" spans="1:14">
      <c r="A4" s="6" t="s">
        <v>9</v>
      </c>
      <c r="B4" s="7" t="s">
        <v>10</v>
      </c>
      <c r="C4" s="1" t="s">
        <v>11</v>
      </c>
      <c r="D4" s="12">
        <v>0</v>
      </c>
      <c r="E4" s="9"/>
      <c r="F4" s="36"/>
      <c r="G4" s="11"/>
      <c r="H4" s="11"/>
      <c r="I4" s="11"/>
      <c r="J4" s="11"/>
      <c r="K4" s="11"/>
      <c r="L4" s="11"/>
      <c r="M4" s="11"/>
      <c r="N4" s="11"/>
    </row>
    <row r="5" spans="1:14">
      <c r="A5" s="6">
        <v>41971</v>
      </c>
      <c r="B5" s="7" t="s">
        <v>12</v>
      </c>
      <c r="C5" s="1" t="s">
        <v>13</v>
      </c>
      <c r="D5" s="12">
        <v>130.19999999999999</v>
      </c>
      <c r="E5" s="9"/>
      <c r="F5" s="40" t="s">
        <v>207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41971</v>
      </c>
      <c r="B6" s="7" t="s">
        <v>18</v>
      </c>
      <c r="C6" s="1" t="s">
        <v>19</v>
      </c>
      <c r="D6" s="12">
        <v>75.13</v>
      </c>
      <c r="E6" s="12"/>
      <c r="F6">
        <v>73642595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41985</v>
      </c>
      <c r="B7" s="7" t="s">
        <v>155</v>
      </c>
      <c r="C7" s="1" t="s">
        <v>16</v>
      </c>
      <c r="D7" s="12">
        <v>81</v>
      </c>
      <c r="E7" s="12"/>
      <c r="F7">
        <v>3736376788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70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41986</v>
      </c>
      <c r="B9" s="7" t="s">
        <v>21</v>
      </c>
      <c r="C9" s="1" t="s">
        <v>23</v>
      </c>
      <c r="D9" s="12">
        <v>236</v>
      </c>
      <c r="E9" s="9"/>
      <c r="F9" s="18" t="s">
        <v>208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41985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41988</v>
      </c>
      <c r="B11" s="7" t="s">
        <v>21</v>
      </c>
      <c r="C11" s="1" t="s">
        <v>209</v>
      </c>
      <c r="D11" s="12">
        <v>494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41985</v>
      </c>
      <c r="B12" s="7" t="s">
        <v>105</v>
      </c>
      <c r="C12" s="1" t="s">
        <v>186</v>
      </c>
      <c r="D12" s="12">
        <v>41.11</v>
      </c>
      <c r="E12" s="12"/>
      <c r="F12" s="18"/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41986</v>
      </c>
      <c r="B13" s="7" t="s">
        <v>27</v>
      </c>
      <c r="C13" s="1" t="s">
        <v>28</v>
      </c>
      <c r="D13" s="12">
        <v>44.95</v>
      </c>
      <c r="E13" s="9"/>
      <c r="F13" s="10" t="s">
        <v>210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30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41986</v>
      </c>
      <c r="B15" s="7" t="s">
        <v>31</v>
      </c>
      <c r="C15" s="1" t="s">
        <v>32</v>
      </c>
      <c r="D15" s="12">
        <v>129.22</v>
      </c>
      <c r="E15" s="9"/>
      <c r="F15" s="17"/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42000</v>
      </c>
      <c r="B16" s="7" t="s">
        <v>34</v>
      </c>
      <c r="C16" s="1" t="s">
        <v>35</v>
      </c>
      <c r="D16" s="12">
        <v>200</v>
      </c>
      <c r="E16" s="9"/>
      <c r="F16" s="17"/>
      <c r="G16" s="7"/>
      <c r="H16" s="7"/>
      <c r="I16" s="7"/>
      <c r="J16" s="7"/>
      <c r="K16" s="7"/>
      <c r="L16" s="7"/>
      <c r="M16" s="7"/>
      <c r="N16" s="7"/>
    </row>
    <row r="17" spans="1:14">
      <c r="A17" s="6">
        <v>41999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41971</v>
      </c>
      <c r="B21" s="1" t="s">
        <v>45</v>
      </c>
      <c r="C21" s="1" t="s">
        <v>213</v>
      </c>
      <c r="D21" s="12"/>
      <c r="E21" s="1"/>
      <c r="F21" s="18" t="s">
        <v>214</v>
      </c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1" t="s">
        <v>45</v>
      </c>
      <c r="C22" s="1" t="s">
        <v>46</v>
      </c>
      <c r="D22" s="12">
        <v>0</v>
      </c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41977</v>
      </c>
      <c r="B23" s="1" t="s">
        <v>48</v>
      </c>
      <c r="C23" s="1" t="s">
        <v>49</v>
      </c>
      <c r="D23" s="12"/>
      <c r="E23" s="1"/>
      <c r="F23" s="27" t="s">
        <v>215</v>
      </c>
      <c r="G23" s="1" t="s">
        <v>216</v>
      </c>
      <c r="H23" s="1"/>
      <c r="I23" s="1"/>
      <c r="J23" s="1"/>
      <c r="K23" s="1"/>
      <c r="L23" s="1"/>
      <c r="M23" s="1"/>
      <c r="N23" s="1"/>
    </row>
    <row r="24" spans="1:14">
      <c r="A24" s="6">
        <v>41971</v>
      </c>
      <c r="B24" s="1" t="s">
        <v>27</v>
      </c>
      <c r="C24" s="1" t="s">
        <v>217</v>
      </c>
      <c r="D24" s="12"/>
      <c r="E24" s="1"/>
      <c r="F24" s="37">
        <v>194972408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D25" s="12">
        <v>102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3068.0199999999995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3910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841.98000000000047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2">
        <f>D33/4</f>
        <v>210.49500000000012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-4.5049999999998818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1955</v>
      </c>
      <c r="H47" s="1" t="s">
        <v>112</v>
      </c>
    </row>
    <row r="48" spans="1:14">
      <c r="G48" s="1">
        <f>G47*26</f>
        <v>50830</v>
      </c>
      <c r="H48" s="1" t="s">
        <v>113</v>
      </c>
    </row>
    <row r="49" spans="7:8">
      <c r="G49" s="1">
        <f>G48/12</f>
        <v>4235.833333333333</v>
      </c>
      <c r="H49" s="1" t="s">
        <v>114</v>
      </c>
    </row>
  </sheetData>
  <mergeCells count="1">
    <mergeCell ref="A1:D1"/>
  </mergeCells>
  <hyperlinks>
    <hyperlink ref="G12" r:id="rId1" xr:uid="{00000000-0004-0000-0B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0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218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42000</v>
      </c>
      <c r="B3" s="7" t="s">
        <v>6</v>
      </c>
      <c r="C3" s="1" t="s">
        <v>131</v>
      </c>
      <c r="D3" s="8">
        <v>1220.5</v>
      </c>
      <c r="E3" s="9"/>
      <c r="F3" s="39" t="s">
        <v>219</v>
      </c>
      <c r="G3" s="11"/>
      <c r="H3" s="11"/>
      <c r="I3" s="11"/>
      <c r="J3" s="11"/>
      <c r="K3" s="11"/>
      <c r="L3" s="11"/>
      <c r="M3" s="11"/>
      <c r="N3" s="11"/>
    </row>
    <row r="4" spans="1:14">
      <c r="A4" s="6" t="s">
        <v>9</v>
      </c>
      <c r="B4" s="7" t="s">
        <v>10</v>
      </c>
      <c r="C4" s="1" t="s">
        <v>11</v>
      </c>
      <c r="D4" s="12">
        <v>0</v>
      </c>
      <c r="E4" s="9"/>
      <c r="F4" s="36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42000</v>
      </c>
      <c r="B5" s="7" t="s">
        <v>12</v>
      </c>
      <c r="C5" s="1" t="s">
        <v>13</v>
      </c>
      <c r="D5" s="12">
        <v>130.19999999999999</v>
      </c>
      <c r="E5" s="9"/>
      <c r="F5" s="40" t="s">
        <v>220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42000</v>
      </c>
      <c r="B6" s="7" t="s">
        <v>18</v>
      </c>
      <c r="C6" s="1" t="s">
        <v>19</v>
      </c>
      <c r="D6" s="12">
        <v>75.13</v>
      </c>
      <c r="E6" s="12"/>
      <c r="G6" s="11"/>
      <c r="H6" s="11"/>
      <c r="I6" s="11"/>
      <c r="J6" s="11"/>
      <c r="K6" s="11"/>
      <c r="L6" s="11"/>
      <c r="M6" s="11"/>
      <c r="N6" s="11"/>
    </row>
    <row r="7" spans="1:14">
      <c r="A7" s="6">
        <v>42014</v>
      </c>
      <c r="B7" s="7" t="s">
        <v>155</v>
      </c>
      <c r="C7" s="1" t="s">
        <v>16</v>
      </c>
      <c r="D7" s="12">
        <v>81</v>
      </c>
      <c r="E7" s="12"/>
      <c r="F7" t="s">
        <v>221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70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42014</v>
      </c>
      <c r="B9" s="7" t="s">
        <v>21</v>
      </c>
      <c r="C9" s="1" t="s">
        <v>23</v>
      </c>
      <c r="D9" s="12">
        <v>236</v>
      </c>
      <c r="E9" s="9"/>
      <c r="F9" s="18" t="s">
        <v>222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42014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42014</v>
      </c>
      <c r="B12" s="7" t="s">
        <v>105</v>
      </c>
      <c r="C12" s="1" t="s">
        <v>186</v>
      </c>
      <c r="D12" s="12">
        <v>41.11</v>
      </c>
      <c r="E12" s="12"/>
      <c r="F12" s="18"/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42025</v>
      </c>
      <c r="B13" s="7" t="s">
        <v>27</v>
      </c>
      <c r="C13" s="1" t="s">
        <v>28</v>
      </c>
      <c r="D13" s="12">
        <v>44.95</v>
      </c>
      <c r="E13" s="9"/>
      <c r="F13" s="10" t="s">
        <v>223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30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42025</v>
      </c>
      <c r="B15" s="7" t="s">
        <v>31</v>
      </c>
      <c r="C15" s="1" t="s">
        <v>32</v>
      </c>
      <c r="D15" s="12">
        <v>129.22</v>
      </c>
      <c r="E15" s="9"/>
      <c r="F15" s="17"/>
      <c r="G15" s="7"/>
      <c r="H15" s="7"/>
      <c r="I15" s="7"/>
      <c r="J15" s="7"/>
      <c r="K15" s="7"/>
      <c r="L15" s="7"/>
      <c r="M15" s="7"/>
      <c r="N15" s="7"/>
    </row>
    <row r="16" spans="1:14">
      <c r="A16" s="6" t="s">
        <v>9</v>
      </c>
      <c r="B16" s="7" t="s">
        <v>34</v>
      </c>
      <c r="C16" s="1" t="s">
        <v>35</v>
      </c>
      <c r="D16" s="12">
        <v>161</v>
      </c>
      <c r="E16" s="9"/>
      <c r="F16" s="17"/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42030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9</v>
      </c>
      <c r="B21" s="1" t="s">
        <v>45</v>
      </c>
      <c r="C21" s="1" t="s">
        <v>213</v>
      </c>
      <c r="D21" s="12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41996</v>
      </c>
      <c r="B22" s="1" t="s">
        <v>45</v>
      </c>
      <c r="C22" s="1" t="s">
        <v>46</v>
      </c>
      <c r="D22" s="12">
        <v>0</v>
      </c>
      <c r="E22" s="1"/>
      <c r="F22" s="18" t="s">
        <v>224</v>
      </c>
      <c r="G22" s="1" t="s">
        <v>225</v>
      </c>
      <c r="H22" s="1"/>
      <c r="I22" s="1"/>
      <c r="J22" s="1"/>
      <c r="K22" s="1"/>
      <c r="L22" s="1"/>
      <c r="M22" s="1"/>
      <c r="N22" s="1"/>
    </row>
    <row r="23" spans="1:14">
      <c r="A23" s="6">
        <v>41996</v>
      </c>
      <c r="B23" s="1" t="s">
        <v>48</v>
      </c>
      <c r="C23" s="1" t="s">
        <v>49</v>
      </c>
      <c r="D23" s="12"/>
      <c r="E23" s="1"/>
      <c r="F23" s="27" t="s">
        <v>226</v>
      </c>
      <c r="G23" s="1" t="s">
        <v>227</v>
      </c>
      <c r="H23" s="1"/>
      <c r="I23" s="1"/>
      <c r="J23" s="1"/>
      <c r="K23" s="1"/>
      <c r="L23" s="1"/>
      <c r="M23" s="1"/>
      <c r="N23" s="1"/>
    </row>
    <row r="24" spans="1:14">
      <c r="A24" s="6">
        <v>41996</v>
      </c>
      <c r="B24" s="1" t="s">
        <v>27</v>
      </c>
      <c r="C24" s="1" t="s">
        <v>217</v>
      </c>
      <c r="D24" s="12"/>
      <c r="E24" s="1"/>
      <c r="F24" s="37" t="s">
        <v>228</v>
      </c>
      <c r="G24" s="1" t="s">
        <v>229</v>
      </c>
      <c r="H24" s="1"/>
      <c r="I24" s="1"/>
      <c r="J24" s="1"/>
      <c r="K24" s="1"/>
      <c r="L24" s="1"/>
      <c r="M24" s="1"/>
      <c r="N24" s="1"/>
    </row>
    <row r="25" spans="1:14">
      <c r="A25" s="6">
        <v>42014</v>
      </c>
      <c r="B25" s="1" t="s">
        <v>51</v>
      </c>
      <c r="C25" s="1" t="s">
        <v>52</v>
      </c>
      <c r="D25" s="12">
        <v>102</v>
      </c>
      <c r="E25" s="1"/>
      <c r="F25" s="18" t="s">
        <v>230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>
        <v>42025</v>
      </c>
      <c r="B27" s="1" t="s">
        <v>231</v>
      </c>
      <c r="C27" s="1" t="s">
        <v>232</v>
      </c>
      <c r="D27" s="12">
        <v>107</v>
      </c>
      <c r="E27" s="1"/>
      <c r="F27" s="24" t="s">
        <v>233</v>
      </c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3136.1599999999994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3910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773.8400000000006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/>
      <c r="J36" s="12"/>
      <c r="K36" s="1"/>
      <c r="L36" s="1"/>
      <c r="M36" s="1"/>
      <c r="N36" s="1"/>
    </row>
    <row r="37" spans="1:14">
      <c r="B37" s="1"/>
      <c r="C37" s="32">
        <f>D34/4</f>
        <v>193.46000000000015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25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-21.53999999999985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1955</v>
      </c>
      <c r="H48" s="1" t="s">
        <v>112</v>
      </c>
    </row>
    <row r="49" spans="7:8">
      <c r="G49" s="1">
        <f>G48*26</f>
        <v>50830</v>
      </c>
      <c r="H49" s="1" t="s">
        <v>113</v>
      </c>
    </row>
    <row r="50" spans="7:8">
      <c r="G50" s="1">
        <f>G49/12</f>
        <v>4235.833333333333</v>
      </c>
      <c r="H50" s="1" t="s">
        <v>114</v>
      </c>
    </row>
  </sheetData>
  <mergeCells count="1">
    <mergeCell ref="A1:D1"/>
  </mergeCells>
  <hyperlinks>
    <hyperlink ref="G12" r:id="rId1" xr:uid="{00000000-0004-0000-0C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0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218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42036</v>
      </c>
      <c r="B3" s="7" t="s">
        <v>6</v>
      </c>
      <c r="C3" s="1" t="s">
        <v>131</v>
      </c>
      <c r="D3" s="8">
        <v>1220.5</v>
      </c>
      <c r="E3" s="9"/>
      <c r="F3" s="39" t="s">
        <v>234</v>
      </c>
      <c r="G3" s="11"/>
      <c r="H3" s="11"/>
      <c r="I3" s="11"/>
      <c r="J3" s="11"/>
      <c r="K3" s="11"/>
      <c r="L3" s="11"/>
      <c r="M3" s="11"/>
      <c r="N3" s="11"/>
    </row>
    <row r="4" spans="1:14">
      <c r="A4" s="6" t="s">
        <v>9</v>
      </c>
      <c r="B4" s="7" t="s">
        <v>10</v>
      </c>
      <c r="C4" s="1" t="s">
        <v>235</v>
      </c>
      <c r="D4" s="12">
        <v>0</v>
      </c>
      <c r="E4" s="9"/>
      <c r="F4" s="36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42037</v>
      </c>
      <c r="B5" s="7" t="s">
        <v>12</v>
      </c>
      <c r="C5" s="1" t="s">
        <v>13</v>
      </c>
      <c r="D5" s="12">
        <v>130.19999999999999</v>
      </c>
      <c r="E5" s="9"/>
      <c r="F5" s="40" t="s">
        <v>236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42037</v>
      </c>
      <c r="B6" s="7" t="s">
        <v>18</v>
      </c>
      <c r="C6" s="1" t="s">
        <v>19</v>
      </c>
      <c r="D6" s="12">
        <v>75.13</v>
      </c>
      <c r="E6" s="12"/>
      <c r="F6">
        <v>76066809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42042</v>
      </c>
      <c r="B7" s="7" t="s">
        <v>155</v>
      </c>
      <c r="C7" s="1" t="s">
        <v>16</v>
      </c>
      <c r="D7" s="12">
        <v>81</v>
      </c>
      <c r="E7" s="12"/>
      <c r="F7" t="s">
        <v>237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70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42042</v>
      </c>
      <c r="B9" s="7" t="s">
        <v>21</v>
      </c>
      <c r="C9" s="1" t="s">
        <v>23</v>
      </c>
      <c r="D9" s="12">
        <v>236</v>
      </c>
      <c r="E9" s="9"/>
      <c r="F9" s="18" t="s">
        <v>238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42042</v>
      </c>
      <c r="B10" s="7" t="s">
        <v>21</v>
      </c>
      <c r="C10" s="1" t="s">
        <v>25</v>
      </c>
      <c r="D10" s="12">
        <v>30.25</v>
      </c>
      <c r="E10" s="16"/>
      <c r="F10" s="19" t="s">
        <v>239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42050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42042</v>
      </c>
      <c r="B12" s="7" t="s">
        <v>105</v>
      </c>
      <c r="C12" s="1" t="s">
        <v>186</v>
      </c>
      <c r="D12" s="12">
        <v>41.11</v>
      </c>
      <c r="E12" s="12"/>
      <c r="F12" s="18" t="s">
        <v>240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42042</v>
      </c>
      <c r="B13" s="7" t="s">
        <v>27</v>
      </c>
      <c r="C13" s="1" t="s">
        <v>28</v>
      </c>
      <c r="D13" s="12">
        <v>44.95</v>
      </c>
      <c r="E13" s="9"/>
      <c r="F13" s="10" t="s">
        <v>241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30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42054</v>
      </c>
      <c r="B15" s="7" t="s">
        <v>31</v>
      </c>
      <c r="C15" s="1" t="s">
        <v>32</v>
      </c>
      <c r="D15" s="12">
        <v>129.22</v>
      </c>
      <c r="E15" s="9"/>
      <c r="F15" s="17" t="s">
        <v>242</v>
      </c>
      <c r="G15" s="7"/>
      <c r="H15" s="7"/>
      <c r="I15" s="7"/>
      <c r="J15" s="7"/>
      <c r="K15" s="7"/>
      <c r="L15" s="7"/>
      <c r="M15" s="7"/>
      <c r="N15" s="7"/>
    </row>
    <row r="16" spans="1:14">
      <c r="A16" s="6" t="s">
        <v>9</v>
      </c>
      <c r="B16" s="7" t="s">
        <v>34</v>
      </c>
      <c r="C16" s="1" t="s">
        <v>35</v>
      </c>
      <c r="D16" s="12">
        <v>161</v>
      </c>
      <c r="E16" s="9"/>
      <c r="F16" s="17"/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42061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42042</v>
      </c>
      <c r="B21" s="1" t="s">
        <v>45</v>
      </c>
      <c r="C21" s="1" t="s">
        <v>55</v>
      </c>
      <c r="D21" s="12"/>
      <c r="E21" s="1"/>
      <c r="F21" s="18" t="s">
        <v>243</v>
      </c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1" t="s">
        <v>45</v>
      </c>
      <c r="C22" s="1" t="s">
        <v>46</v>
      </c>
      <c r="D22" s="12">
        <v>0</v>
      </c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42047</v>
      </c>
      <c r="B23" s="1" t="s">
        <v>48</v>
      </c>
      <c r="C23" s="1" t="s">
        <v>49</v>
      </c>
      <c r="D23" s="12"/>
      <c r="E23" s="1"/>
      <c r="F23" s="27" t="s">
        <v>244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42042</v>
      </c>
      <c r="B24" s="1" t="s">
        <v>27</v>
      </c>
      <c r="C24" s="1" t="s">
        <v>43</v>
      </c>
      <c r="D24" s="12"/>
      <c r="E24" s="1"/>
      <c r="F24" s="37">
        <v>201518336</v>
      </c>
      <c r="G24" s="1"/>
      <c r="H24" s="1"/>
      <c r="I24" s="1"/>
      <c r="J24" s="1"/>
      <c r="K24" s="1"/>
      <c r="L24" s="1"/>
      <c r="M24" s="1"/>
      <c r="N24" s="1"/>
    </row>
    <row r="25" spans="1:14">
      <c r="A25" s="6">
        <v>42042</v>
      </c>
      <c r="B25" s="1" t="s">
        <v>51</v>
      </c>
      <c r="C25" s="1" t="s">
        <v>52</v>
      </c>
      <c r="D25" s="12">
        <v>102</v>
      </c>
      <c r="E25" s="1"/>
      <c r="F25" s="18" t="s">
        <v>245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>
        <v>42042</v>
      </c>
      <c r="B27" s="1" t="s">
        <v>231</v>
      </c>
      <c r="C27" s="1" t="s">
        <v>246</v>
      </c>
      <c r="D27" s="12">
        <v>107</v>
      </c>
      <c r="E27" s="1"/>
      <c r="F27" s="24" t="s">
        <v>247</v>
      </c>
      <c r="G27" s="1"/>
      <c r="H27" s="1"/>
      <c r="I27" s="1"/>
      <c r="J27" s="1"/>
      <c r="K27" s="1"/>
      <c r="L27" s="1"/>
      <c r="M27" s="1"/>
      <c r="N27" s="1"/>
    </row>
    <row r="28" spans="1:14">
      <c r="A28" s="6">
        <v>3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3136.1599999999994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3910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773.8400000000006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/>
      <c r="J36" s="12"/>
      <c r="K36" s="1"/>
      <c r="L36" s="1"/>
      <c r="M36" s="1"/>
      <c r="N36" s="1"/>
    </row>
    <row r="37" spans="1:14">
      <c r="B37" s="1"/>
      <c r="C37" s="32">
        <f>D34/4</f>
        <v>193.46000000000015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25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-21.53999999999985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1955</v>
      </c>
      <c r="H48" s="1" t="s">
        <v>112</v>
      </c>
    </row>
    <row r="49" spans="7:8">
      <c r="G49" s="1">
        <f>G48*26</f>
        <v>50830</v>
      </c>
      <c r="H49" s="1" t="s">
        <v>113</v>
      </c>
    </row>
    <row r="50" spans="7:8">
      <c r="G50" s="1">
        <f>G49/12</f>
        <v>4235.833333333333</v>
      </c>
      <c r="H50" s="1" t="s">
        <v>114</v>
      </c>
    </row>
  </sheetData>
  <mergeCells count="1">
    <mergeCell ref="A1:D1"/>
  </mergeCells>
  <hyperlinks>
    <hyperlink ref="G12" r:id="rId1" xr:uid="{00000000-0004-0000-0D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9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248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42069</v>
      </c>
      <c r="B3" s="7" t="s">
        <v>6</v>
      </c>
      <c r="C3" s="1" t="s">
        <v>131</v>
      </c>
      <c r="D3" s="8">
        <v>1220.5</v>
      </c>
      <c r="E3" s="9"/>
      <c r="F3" s="39" t="s">
        <v>249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42065</v>
      </c>
      <c r="B4" s="7" t="s">
        <v>10</v>
      </c>
      <c r="C4" s="1" t="s">
        <v>235</v>
      </c>
      <c r="D4" s="12">
        <v>50</v>
      </c>
      <c r="E4" s="9"/>
      <c r="F4" s="36" t="s">
        <v>250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42065</v>
      </c>
      <c r="B5" s="7" t="s">
        <v>12</v>
      </c>
      <c r="C5" s="1" t="s">
        <v>13</v>
      </c>
      <c r="D5" s="12">
        <v>130.19999999999999</v>
      </c>
      <c r="E5" s="9"/>
      <c r="F5" s="42" t="s">
        <v>251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42069</v>
      </c>
      <c r="B6" s="7" t="s">
        <v>18</v>
      </c>
      <c r="C6" s="1" t="s">
        <v>19</v>
      </c>
      <c r="D6" s="12">
        <v>75.13</v>
      </c>
      <c r="E6" s="12"/>
      <c r="F6">
        <v>77468869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42076</v>
      </c>
      <c r="B7" s="7" t="s">
        <v>155</v>
      </c>
      <c r="C7" s="1" t="s">
        <v>16</v>
      </c>
      <c r="D7" s="12">
        <v>81</v>
      </c>
      <c r="E7" s="12"/>
      <c r="F7" t="s">
        <v>252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253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42076</v>
      </c>
      <c r="B9" s="7" t="s">
        <v>21</v>
      </c>
      <c r="C9" s="1" t="s">
        <v>23</v>
      </c>
      <c r="D9" s="12">
        <v>236</v>
      </c>
      <c r="E9" s="9"/>
      <c r="F9" s="18" t="s">
        <v>254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42076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43">
        <v>42083</v>
      </c>
      <c r="B12" s="7" t="s">
        <v>105</v>
      </c>
      <c r="C12" s="1" t="s">
        <v>186</v>
      </c>
      <c r="D12" s="12">
        <v>41.11</v>
      </c>
      <c r="E12" s="12"/>
      <c r="F12" s="18" t="s">
        <v>255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42076</v>
      </c>
      <c r="B13" s="7" t="s">
        <v>27</v>
      </c>
      <c r="C13" s="1" t="s">
        <v>28</v>
      </c>
      <c r="D13" s="12">
        <v>44.95</v>
      </c>
      <c r="E13" s="9"/>
      <c r="F13" s="44" t="s">
        <v>256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30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42083</v>
      </c>
      <c r="B15" s="7" t="s">
        <v>31</v>
      </c>
      <c r="C15" s="1" t="s">
        <v>32</v>
      </c>
      <c r="D15" s="12">
        <v>129.22</v>
      </c>
      <c r="E15" s="9"/>
      <c r="F15" s="17"/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42092</v>
      </c>
      <c r="B16" s="7" t="s">
        <v>34</v>
      </c>
      <c r="C16" s="1" t="s">
        <v>35</v>
      </c>
      <c r="D16" s="12">
        <v>161</v>
      </c>
      <c r="E16" s="9"/>
      <c r="F16" s="17" t="s">
        <v>257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42089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42069</v>
      </c>
      <c r="B21" s="1" t="s">
        <v>45</v>
      </c>
      <c r="C21" s="1" t="s">
        <v>258</v>
      </c>
      <c r="D21" s="12"/>
      <c r="E21" s="1"/>
      <c r="F21" s="18" t="s">
        <v>259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42069</v>
      </c>
      <c r="B22" s="1" t="s">
        <v>45</v>
      </c>
      <c r="C22" s="1" t="s">
        <v>46</v>
      </c>
      <c r="D22" s="12">
        <v>0</v>
      </c>
      <c r="E22" s="1"/>
      <c r="F22" s="18" t="s">
        <v>260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42069</v>
      </c>
      <c r="B23" s="1" t="s">
        <v>48</v>
      </c>
      <c r="C23" s="1" t="s">
        <v>49</v>
      </c>
      <c r="D23" s="12">
        <v>102</v>
      </c>
      <c r="E23" s="1"/>
      <c r="F23" s="27" t="s">
        <v>261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42069</v>
      </c>
      <c r="B24" s="1" t="s">
        <v>27</v>
      </c>
      <c r="C24" s="1" t="s">
        <v>43</v>
      </c>
      <c r="D24" s="12"/>
      <c r="E24" s="1"/>
      <c r="F24" s="37">
        <v>204065345</v>
      </c>
      <c r="G24" s="1"/>
      <c r="H24" s="1"/>
      <c r="I24" s="1"/>
      <c r="J24" s="1"/>
      <c r="K24" s="1"/>
      <c r="L24" s="1"/>
      <c r="M24" s="1"/>
      <c r="N24" s="1"/>
    </row>
    <row r="25" spans="1:14">
      <c r="A25" s="6">
        <v>42076</v>
      </c>
      <c r="B25" s="1" t="s">
        <v>51</v>
      </c>
      <c r="C25" s="1" t="s">
        <v>52</v>
      </c>
      <c r="E25" s="1"/>
      <c r="F25" s="18" t="s">
        <v>262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3079.1599999999994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3980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900.8400000000006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225.21000000000015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10.21000000000015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0E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9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8.7109375" customWidth="1"/>
    <col min="8" max="8" width="24.85546875" customWidth="1"/>
    <col min="9" max="1025" width="8.7109375" customWidth="1"/>
  </cols>
  <sheetData>
    <row r="1" spans="1:14" ht="20.25">
      <c r="A1" s="114" t="s">
        <v>263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42097</v>
      </c>
      <c r="B3" s="7" t="s">
        <v>6</v>
      </c>
      <c r="C3" s="1" t="s">
        <v>131</v>
      </c>
      <c r="D3" s="8">
        <v>1220.5</v>
      </c>
      <c r="E3" s="9"/>
      <c r="F3" s="39" t="s">
        <v>264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42095</v>
      </c>
      <c r="B4" s="7" t="s">
        <v>10</v>
      </c>
      <c r="C4" s="1" t="s">
        <v>235</v>
      </c>
      <c r="D4" s="12">
        <v>50</v>
      </c>
      <c r="E4" s="9"/>
      <c r="F4" s="36" t="s">
        <v>265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42095</v>
      </c>
      <c r="B5" s="7" t="s">
        <v>12</v>
      </c>
      <c r="C5" s="1" t="s">
        <v>13</v>
      </c>
      <c r="D5" s="12">
        <v>130.19999999999999</v>
      </c>
      <c r="E5" s="9"/>
      <c r="F5" s="42" t="s">
        <v>266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42095</v>
      </c>
      <c r="B6" s="7" t="s">
        <v>18</v>
      </c>
      <c r="C6" s="1" t="s">
        <v>19</v>
      </c>
      <c r="D6" s="12">
        <v>75.13</v>
      </c>
      <c r="E6" s="12"/>
      <c r="F6">
        <v>78488698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42101</v>
      </c>
      <c r="B7" s="7" t="s">
        <v>155</v>
      </c>
      <c r="C7" s="1" t="s">
        <v>16</v>
      </c>
      <c r="D7" s="12">
        <v>81</v>
      </c>
      <c r="E7" s="12"/>
      <c r="F7">
        <v>940007807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267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42109</v>
      </c>
      <c r="B9" s="7" t="s">
        <v>21</v>
      </c>
      <c r="C9" s="1" t="s">
        <v>23</v>
      </c>
      <c r="D9" s="12">
        <v>236</v>
      </c>
      <c r="E9" s="9"/>
      <c r="F9" s="18" t="s">
        <v>268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42095</v>
      </c>
      <c r="B10" s="7" t="s">
        <v>21</v>
      </c>
      <c r="C10" s="1" t="s">
        <v>25</v>
      </c>
      <c r="D10" s="12">
        <v>30.25</v>
      </c>
      <c r="E10" s="16"/>
      <c r="F10" s="19" t="s">
        <v>269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42109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43">
        <v>42111</v>
      </c>
      <c r="B12" s="7" t="s">
        <v>105</v>
      </c>
      <c r="C12" s="1" t="s">
        <v>186</v>
      </c>
      <c r="D12" s="12">
        <v>41.11</v>
      </c>
      <c r="E12" s="12"/>
      <c r="F12" s="18" t="s">
        <v>270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42111</v>
      </c>
      <c r="B13" s="7" t="s">
        <v>27</v>
      </c>
      <c r="C13" s="1" t="s">
        <v>28</v>
      </c>
      <c r="D13" s="12">
        <v>44.95</v>
      </c>
      <c r="E13" s="9"/>
      <c r="F13" s="44" t="s">
        <v>271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30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42114</v>
      </c>
      <c r="B15" s="7" t="s">
        <v>31</v>
      </c>
      <c r="C15" s="1" t="s">
        <v>32</v>
      </c>
      <c r="D15" s="12">
        <v>129.22</v>
      </c>
      <c r="E15" s="9"/>
      <c r="F15" s="17"/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42119</v>
      </c>
      <c r="B16" s="7" t="s">
        <v>34</v>
      </c>
      <c r="C16" s="1" t="s">
        <v>35</v>
      </c>
      <c r="D16" s="12">
        <v>161</v>
      </c>
      <c r="E16" s="9"/>
      <c r="F16" s="17" t="s">
        <v>272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42119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42101</v>
      </c>
      <c r="B21" s="1" t="s">
        <v>45</v>
      </c>
      <c r="C21" s="1" t="s">
        <v>258</v>
      </c>
      <c r="D21" s="12"/>
      <c r="E21" s="1"/>
      <c r="F21" s="18" t="s">
        <v>273</v>
      </c>
      <c r="G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1" t="s">
        <v>45</v>
      </c>
      <c r="C22" s="1" t="s">
        <v>46</v>
      </c>
      <c r="D22" s="12">
        <v>0</v>
      </c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42109</v>
      </c>
      <c r="B23" s="1" t="s">
        <v>48</v>
      </c>
      <c r="C23" s="1" t="s">
        <v>49</v>
      </c>
      <c r="D23" s="12">
        <v>102</v>
      </c>
      <c r="E23" s="1"/>
      <c r="F23" s="27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42111</v>
      </c>
      <c r="B24" s="1" t="s">
        <v>27</v>
      </c>
      <c r="C24" s="1" t="s">
        <v>43</v>
      </c>
      <c r="D24" s="12"/>
      <c r="E24" s="1"/>
      <c r="F24" s="1">
        <v>207419130</v>
      </c>
      <c r="G24" s="37"/>
      <c r="H24" s="1"/>
      <c r="I24" s="1"/>
      <c r="J24" s="1"/>
      <c r="K24" s="1"/>
      <c r="L24" s="1"/>
      <c r="M24" s="1"/>
      <c r="N24" s="1"/>
    </row>
    <row r="25" spans="1:14">
      <c r="A25" s="6">
        <v>42112</v>
      </c>
      <c r="B25" s="1" t="s">
        <v>51</v>
      </c>
      <c r="C25" s="1" t="s">
        <v>52</v>
      </c>
      <c r="E25" s="1"/>
      <c r="F25" s="24" t="s">
        <v>274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3079.1599999999994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3980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900.8400000000006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225.21000000000015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10.21000000000015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0F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9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275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42125</v>
      </c>
      <c r="B3" s="7" t="s">
        <v>6</v>
      </c>
      <c r="C3" s="1" t="s">
        <v>131</v>
      </c>
      <c r="D3" s="8">
        <v>1220.5</v>
      </c>
      <c r="E3" s="9"/>
      <c r="F3" s="39" t="s">
        <v>276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42125</v>
      </c>
      <c r="B4" s="7" t="s">
        <v>10</v>
      </c>
      <c r="C4" s="1" t="s">
        <v>235</v>
      </c>
      <c r="D4" s="12">
        <v>50</v>
      </c>
      <c r="E4" s="9"/>
      <c r="F4" s="36" t="s">
        <v>277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42125</v>
      </c>
      <c r="B5" s="7" t="s">
        <v>12</v>
      </c>
      <c r="C5" s="1" t="s">
        <v>13</v>
      </c>
      <c r="D5" s="12">
        <v>121.76</v>
      </c>
      <c r="E5" s="9"/>
      <c r="F5" s="42" t="s">
        <v>278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42125</v>
      </c>
      <c r="B6" s="7" t="s">
        <v>18</v>
      </c>
      <c r="C6" s="1" t="s">
        <v>19</v>
      </c>
      <c r="D6" s="12">
        <v>75.13</v>
      </c>
      <c r="E6" s="12"/>
      <c r="F6">
        <v>79703517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42138</v>
      </c>
      <c r="B7" s="7" t="s">
        <v>155</v>
      </c>
      <c r="C7" s="1" t="s">
        <v>16</v>
      </c>
      <c r="D7" s="12">
        <v>81</v>
      </c>
      <c r="E7" s="12"/>
      <c r="F7" t="s">
        <v>279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253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42139</v>
      </c>
      <c r="B9" s="7" t="s">
        <v>21</v>
      </c>
      <c r="C9" s="1" t="s">
        <v>23</v>
      </c>
      <c r="D9" s="12">
        <v>236</v>
      </c>
      <c r="E9" s="9"/>
      <c r="F9" s="18" t="s">
        <v>280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42139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42139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43">
        <v>42139</v>
      </c>
      <c r="B12" s="7" t="s">
        <v>105</v>
      </c>
      <c r="C12" s="1" t="s">
        <v>186</v>
      </c>
      <c r="D12" s="12">
        <v>41.11</v>
      </c>
      <c r="E12" s="12"/>
      <c r="F12" s="18" t="s">
        <v>281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42150</v>
      </c>
      <c r="B13" s="7" t="s">
        <v>27</v>
      </c>
      <c r="C13" s="1" t="s">
        <v>28</v>
      </c>
      <c r="D13" s="12">
        <v>44.95</v>
      </c>
      <c r="E13" s="9"/>
      <c r="F13" s="44" t="s">
        <v>282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283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42150</v>
      </c>
      <c r="B15" s="7" t="s">
        <v>31</v>
      </c>
      <c r="C15" s="1" t="s">
        <v>32</v>
      </c>
      <c r="D15" s="12">
        <v>129.22</v>
      </c>
      <c r="E15" s="9"/>
      <c r="F15" s="17"/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42150</v>
      </c>
      <c r="B16" s="7" t="s">
        <v>34</v>
      </c>
      <c r="C16" s="1" t="s">
        <v>35</v>
      </c>
      <c r="D16" s="12">
        <v>161</v>
      </c>
      <c r="E16" s="9"/>
      <c r="F16" s="17" t="s">
        <v>284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42150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42125</v>
      </c>
      <c r="B21" s="1" t="s">
        <v>45</v>
      </c>
      <c r="C21" s="1" t="s">
        <v>258</v>
      </c>
      <c r="D21" s="12"/>
      <c r="E21" s="1"/>
      <c r="F21" s="18" t="s">
        <v>285</v>
      </c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1" t="s">
        <v>45</v>
      </c>
      <c r="C22" s="1" t="s">
        <v>46</v>
      </c>
      <c r="D22" s="12">
        <v>0</v>
      </c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42130</v>
      </c>
      <c r="B23" s="1" t="s">
        <v>48</v>
      </c>
      <c r="C23" s="1" t="s">
        <v>49</v>
      </c>
      <c r="D23" s="12">
        <v>102</v>
      </c>
      <c r="E23" s="1"/>
      <c r="F23" s="27" t="s">
        <v>286</v>
      </c>
      <c r="G23" s="1"/>
      <c r="H23" s="1"/>
      <c r="I23" s="1"/>
      <c r="J23" s="1"/>
      <c r="K23" s="1"/>
      <c r="L23" s="1"/>
      <c r="M23" s="1"/>
      <c r="N23" s="1"/>
    </row>
    <row r="24" spans="1:14">
      <c r="A24" s="6" t="s">
        <v>9</v>
      </c>
      <c r="B24" s="1" t="s">
        <v>27</v>
      </c>
      <c r="C24" s="1" t="s">
        <v>43</v>
      </c>
      <c r="D24" s="12"/>
      <c r="E24" s="1"/>
      <c r="F24" s="37"/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 t="s">
        <v>287</v>
      </c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3070.7199999999993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4644</v>
      </c>
      <c r="E32" s="30"/>
      <c r="F32" s="31"/>
      <c r="G32" s="29"/>
      <c r="H32" s="31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1573.2800000000007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393.32000000000016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178.32000000000016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0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288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42154</v>
      </c>
      <c r="B3" s="7" t="s">
        <v>6</v>
      </c>
      <c r="C3" s="1" t="s">
        <v>131</v>
      </c>
      <c r="D3" s="8">
        <v>1243.82</v>
      </c>
      <c r="E3" s="9"/>
      <c r="F3" s="39" t="s">
        <v>289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42154</v>
      </c>
      <c r="B4" s="7" t="s">
        <v>10</v>
      </c>
      <c r="C4" s="1" t="s">
        <v>235</v>
      </c>
      <c r="D4" s="12">
        <v>50</v>
      </c>
      <c r="E4" s="9"/>
      <c r="F4" s="36" t="s">
        <v>290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42154</v>
      </c>
      <c r="B5" s="7" t="s">
        <v>12</v>
      </c>
      <c r="C5" s="1" t="s">
        <v>13</v>
      </c>
      <c r="D5" s="12">
        <v>163</v>
      </c>
      <c r="E5" s="9"/>
      <c r="F5" s="42" t="s">
        <v>291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42154</v>
      </c>
      <c r="B6" s="7" t="s">
        <v>18</v>
      </c>
      <c r="C6" s="1" t="s">
        <v>19</v>
      </c>
      <c r="D6" s="12">
        <v>193.25</v>
      </c>
      <c r="E6" s="12"/>
      <c r="F6">
        <v>80845408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42168</v>
      </c>
      <c r="B7" s="7" t="s">
        <v>155</v>
      </c>
      <c r="C7" s="1" t="s">
        <v>16</v>
      </c>
      <c r="D7" s="12">
        <v>81</v>
      </c>
      <c r="E7" s="12"/>
      <c r="F7" t="s">
        <v>292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293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42168</v>
      </c>
      <c r="B9" s="7" t="s">
        <v>21</v>
      </c>
      <c r="C9" s="1" t="s">
        <v>23</v>
      </c>
      <c r="D9" s="12">
        <v>236</v>
      </c>
      <c r="E9" s="9"/>
      <c r="F9" s="18" t="s">
        <v>294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42168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42168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43">
        <v>42175</v>
      </c>
      <c r="B12" s="7" t="s">
        <v>105</v>
      </c>
      <c r="C12" s="1" t="s">
        <v>186</v>
      </c>
      <c r="D12" s="12">
        <v>41.11</v>
      </c>
      <c r="E12" s="12"/>
      <c r="F12" s="18" t="s">
        <v>295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42168</v>
      </c>
      <c r="B13" s="7" t="s">
        <v>27</v>
      </c>
      <c r="C13" s="1" t="s">
        <v>28</v>
      </c>
      <c r="D13" s="12">
        <v>44.95</v>
      </c>
      <c r="E13" s="9"/>
      <c r="F13" s="44" t="s">
        <v>296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30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42172</v>
      </c>
      <c r="B15" s="7" t="s">
        <v>31</v>
      </c>
      <c r="C15" s="1" t="s">
        <v>32</v>
      </c>
      <c r="D15" s="12">
        <v>129.22</v>
      </c>
      <c r="E15" s="9"/>
      <c r="F15" s="17" t="s">
        <v>297</v>
      </c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42179</v>
      </c>
      <c r="B16" s="7" t="s">
        <v>34</v>
      </c>
      <c r="C16" s="1" t="s">
        <v>35</v>
      </c>
      <c r="D16" s="12">
        <v>161</v>
      </c>
      <c r="E16" s="9"/>
      <c r="F16" s="17"/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42181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42154</v>
      </c>
      <c r="B21" s="1" t="s">
        <v>45</v>
      </c>
      <c r="C21" s="1" t="s">
        <v>258</v>
      </c>
      <c r="D21" s="12"/>
      <c r="E21" s="1"/>
      <c r="F21" s="18" t="s">
        <v>298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42154</v>
      </c>
      <c r="B22" s="1" t="s">
        <v>45</v>
      </c>
      <c r="C22" s="1" t="s">
        <v>46</v>
      </c>
      <c r="D22" s="12">
        <v>0</v>
      </c>
      <c r="E22" s="1"/>
      <c r="F22" s="18" t="s">
        <v>299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42154</v>
      </c>
      <c r="B23" s="1" t="s">
        <v>48</v>
      </c>
      <c r="C23" s="1" t="s">
        <v>49</v>
      </c>
      <c r="D23" s="12">
        <v>102</v>
      </c>
      <c r="E23" s="1"/>
      <c r="F23" s="27" t="s">
        <v>300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42168</v>
      </c>
      <c r="B24" s="1" t="s">
        <v>27</v>
      </c>
      <c r="C24" s="1" t="s">
        <v>43</v>
      </c>
      <c r="D24" s="12"/>
      <c r="E24" s="1"/>
      <c r="F24" s="37">
        <v>212433700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3253.3999999999996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4726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1472.6000000000004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>
        <v>2363.4</v>
      </c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>
        <f>I34*2</f>
        <v>4726.8</v>
      </c>
      <c r="J35" s="12"/>
      <c r="K35" s="1"/>
      <c r="L35" s="1"/>
      <c r="M35" s="1"/>
      <c r="N35" s="1"/>
    </row>
    <row r="36" spans="1:14">
      <c r="B36" s="1"/>
      <c r="C36" s="32">
        <f>D33/4</f>
        <v>368.15000000000009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153.15000000000009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1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301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42182</v>
      </c>
      <c r="B3" s="7" t="s">
        <v>6</v>
      </c>
      <c r="C3" s="1" t="s">
        <v>131</v>
      </c>
      <c r="D3" s="8">
        <v>1243.82</v>
      </c>
      <c r="E3" s="9"/>
      <c r="F3" s="39"/>
      <c r="G3" s="11"/>
      <c r="H3" s="11"/>
      <c r="I3" s="11"/>
      <c r="J3" s="11"/>
      <c r="K3" s="11"/>
      <c r="L3" s="11"/>
      <c r="M3" s="11"/>
      <c r="N3" s="11"/>
    </row>
    <row r="4" spans="1:14">
      <c r="A4" s="6">
        <v>42189</v>
      </c>
      <c r="B4" s="7" t="s">
        <v>12</v>
      </c>
      <c r="C4" s="1" t="s">
        <v>13</v>
      </c>
      <c r="D4" s="12">
        <v>156.38</v>
      </c>
      <c r="E4" s="9"/>
      <c r="F4" s="42" t="s">
        <v>302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42191</v>
      </c>
      <c r="B5" s="7" t="s">
        <v>18</v>
      </c>
      <c r="C5" s="1" t="s">
        <v>19</v>
      </c>
      <c r="D5" s="12">
        <v>193.25</v>
      </c>
      <c r="E5" s="12"/>
      <c r="F5">
        <v>82307948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42197</v>
      </c>
      <c r="B6" s="7" t="s">
        <v>303</v>
      </c>
      <c r="C6" s="1" t="s">
        <v>304</v>
      </c>
      <c r="D6" s="12">
        <v>50</v>
      </c>
      <c r="E6" s="9"/>
      <c r="F6" s="36"/>
      <c r="G6" s="11"/>
      <c r="H6" s="11"/>
      <c r="I6" s="11"/>
      <c r="J6" s="11"/>
      <c r="K6" s="11"/>
      <c r="L6" s="11"/>
      <c r="M6" s="11"/>
      <c r="N6" s="11"/>
    </row>
    <row r="7" spans="1:14">
      <c r="A7" s="6">
        <v>42197</v>
      </c>
      <c r="B7" s="7" t="s">
        <v>155</v>
      </c>
      <c r="C7" s="1" t="s">
        <v>16</v>
      </c>
      <c r="D7" s="12">
        <v>81</v>
      </c>
      <c r="E7" s="12"/>
      <c r="F7" t="s">
        <v>305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293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42197</v>
      </c>
      <c r="B9" s="7" t="s">
        <v>21</v>
      </c>
      <c r="C9" s="1" t="s">
        <v>23</v>
      </c>
      <c r="D9" s="12">
        <v>236</v>
      </c>
      <c r="E9" s="9"/>
      <c r="F9" s="18" t="s">
        <v>306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42197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42197</v>
      </c>
      <c r="B12" s="7" t="s">
        <v>105</v>
      </c>
      <c r="C12" s="1" t="s">
        <v>186</v>
      </c>
      <c r="D12" s="12">
        <v>41.11</v>
      </c>
      <c r="E12" s="12"/>
      <c r="F12" s="18" t="s">
        <v>307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42197</v>
      </c>
      <c r="B13" s="7" t="s">
        <v>27</v>
      </c>
      <c r="C13" s="1" t="s">
        <v>28</v>
      </c>
      <c r="D13" s="12">
        <v>44.95</v>
      </c>
      <c r="E13" s="9"/>
      <c r="F13" s="44" t="s">
        <v>308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30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42205</v>
      </c>
      <c r="B15" s="7" t="s">
        <v>31</v>
      </c>
      <c r="C15" s="1" t="s">
        <v>32</v>
      </c>
      <c r="D15" s="12">
        <v>129.22</v>
      </c>
      <c r="E15" s="9"/>
      <c r="F15" s="17" t="s">
        <v>309</v>
      </c>
      <c r="G15" s="7"/>
      <c r="H15" s="7"/>
      <c r="I15" s="7"/>
      <c r="J15" s="7"/>
      <c r="K15" s="7"/>
      <c r="L15" s="7"/>
      <c r="M15" s="7"/>
      <c r="N15" s="7"/>
    </row>
    <row r="16" spans="1:14">
      <c r="A16" s="6" t="s">
        <v>9</v>
      </c>
      <c r="B16" s="7" t="s">
        <v>34</v>
      </c>
      <c r="C16" s="1" t="s">
        <v>35</v>
      </c>
      <c r="D16" s="12">
        <v>161</v>
      </c>
      <c r="E16" s="9"/>
      <c r="F16" s="17"/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42211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42195</v>
      </c>
      <c r="B21" s="1" t="s">
        <v>45</v>
      </c>
      <c r="C21" s="1" t="s">
        <v>258</v>
      </c>
      <c r="D21" s="12"/>
      <c r="E21" s="1"/>
      <c r="F21" s="18" t="s">
        <v>310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42195</v>
      </c>
      <c r="B22" s="1" t="s">
        <v>45</v>
      </c>
      <c r="C22" s="1" t="s">
        <v>46</v>
      </c>
      <c r="D22" s="12">
        <v>0</v>
      </c>
      <c r="E22" s="1"/>
      <c r="F22" s="18" t="s">
        <v>311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42197</v>
      </c>
      <c r="B23" s="1" t="s">
        <v>48</v>
      </c>
      <c r="C23" s="1" t="s">
        <v>49</v>
      </c>
      <c r="D23" s="12">
        <v>102</v>
      </c>
      <c r="E23" s="1"/>
      <c r="F23" s="27" t="s">
        <v>312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42197</v>
      </c>
      <c r="B24" s="1" t="s">
        <v>27</v>
      </c>
      <c r="C24" s="1" t="s">
        <v>43</v>
      </c>
      <c r="D24" s="12"/>
      <c r="E24" s="1"/>
      <c r="F24" s="37">
        <v>215009831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3246.7799999999993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4726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1479.2200000000007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>
        <v>2363.4</v>
      </c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>
        <f>I34*2</f>
        <v>4726.8</v>
      </c>
      <c r="J35" s="12"/>
      <c r="K35" s="1"/>
      <c r="L35" s="1"/>
      <c r="M35" s="1"/>
      <c r="N35" s="1"/>
    </row>
    <row r="36" spans="1:14">
      <c r="B36" s="1"/>
      <c r="C36" s="32">
        <f>D33/4</f>
        <v>369.80500000000018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154.80500000000018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2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313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42218</v>
      </c>
      <c r="B3" s="7" t="s">
        <v>6</v>
      </c>
      <c r="C3" s="1" t="s">
        <v>131</v>
      </c>
      <c r="D3" s="8">
        <v>1243.82</v>
      </c>
      <c r="E3" s="9"/>
      <c r="F3" s="45" t="s">
        <v>314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42218</v>
      </c>
      <c r="B4" s="7" t="s">
        <v>12</v>
      </c>
      <c r="C4" s="1" t="s">
        <v>13</v>
      </c>
      <c r="D4" s="12">
        <v>156.38</v>
      </c>
      <c r="E4" s="9"/>
      <c r="F4" s="42" t="s">
        <v>315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42218</v>
      </c>
      <c r="B5" s="7" t="s">
        <v>18</v>
      </c>
      <c r="C5" s="1" t="s">
        <v>19</v>
      </c>
      <c r="D5" s="12">
        <v>193.25</v>
      </c>
      <c r="E5" s="12"/>
      <c r="F5">
        <v>83373575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42228</v>
      </c>
      <c r="B6" s="7" t="s">
        <v>303</v>
      </c>
      <c r="C6" s="1" t="s">
        <v>304</v>
      </c>
      <c r="D6" s="12">
        <v>50</v>
      </c>
      <c r="E6" s="9"/>
      <c r="F6" s="36" t="s">
        <v>316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42231</v>
      </c>
      <c r="B7" s="7" t="s">
        <v>155</v>
      </c>
      <c r="C7" s="1" t="s">
        <v>16</v>
      </c>
      <c r="D7" s="12">
        <v>81</v>
      </c>
      <c r="E7" s="12"/>
      <c r="F7" t="s">
        <v>317</v>
      </c>
      <c r="G7" s="11"/>
      <c r="H7" s="11"/>
      <c r="I7" s="11"/>
      <c r="J7" s="11"/>
      <c r="K7" s="11"/>
      <c r="L7" s="11"/>
      <c r="M7" s="11"/>
      <c r="N7" s="11"/>
    </row>
    <row r="8" spans="1:14">
      <c r="A8" s="6">
        <v>42231</v>
      </c>
      <c r="B8" s="7" t="s">
        <v>21</v>
      </c>
      <c r="C8" s="1" t="s">
        <v>293</v>
      </c>
      <c r="D8" s="12">
        <v>0</v>
      </c>
      <c r="E8" s="9"/>
      <c r="F8" s="36">
        <v>2423332</v>
      </c>
      <c r="G8" s="16"/>
      <c r="H8" s="7"/>
      <c r="I8" s="7"/>
      <c r="J8" s="7"/>
      <c r="K8" s="7"/>
      <c r="L8" s="7"/>
      <c r="M8" s="7"/>
      <c r="N8" s="7"/>
    </row>
    <row r="9" spans="1:14">
      <c r="A9" s="6">
        <v>42230</v>
      </c>
      <c r="B9" s="7" t="s">
        <v>21</v>
      </c>
      <c r="C9" s="1" t="s">
        <v>23</v>
      </c>
      <c r="D9" s="12">
        <v>236</v>
      </c>
      <c r="E9" s="9"/>
      <c r="F9" s="18" t="s">
        <v>318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42228</v>
      </c>
      <c r="B10" s="7" t="s">
        <v>21</v>
      </c>
      <c r="C10" s="1" t="s">
        <v>25</v>
      </c>
      <c r="D10" s="12">
        <v>30.25</v>
      </c>
      <c r="E10" s="16"/>
      <c r="F10" s="19" t="s">
        <v>319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42230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42231</v>
      </c>
      <c r="B12" s="7" t="s">
        <v>105</v>
      </c>
      <c r="C12" s="1" t="s">
        <v>186</v>
      </c>
      <c r="D12" s="12">
        <v>41.11</v>
      </c>
      <c r="E12" s="12"/>
      <c r="F12" s="18" t="s">
        <v>320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42231</v>
      </c>
      <c r="B13" s="7" t="s">
        <v>27</v>
      </c>
      <c r="C13" s="1" t="s">
        <v>28</v>
      </c>
      <c r="D13" s="12">
        <v>44.95</v>
      </c>
      <c r="E13" s="9"/>
      <c r="F13" s="44" t="s">
        <v>321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30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42236</v>
      </c>
      <c r="B15" s="7" t="s">
        <v>31</v>
      </c>
      <c r="C15" s="1" t="s">
        <v>32</v>
      </c>
      <c r="D15" s="12">
        <v>129.22</v>
      </c>
      <c r="E15" s="9"/>
      <c r="F15" s="17"/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42239</v>
      </c>
      <c r="B16" s="7" t="s">
        <v>34</v>
      </c>
      <c r="C16" s="1" t="s">
        <v>35</v>
      </c>
      <c r="D16" s="12">
        <v>161</v>
      </c>
      <c r="E16" s="9"/>
      <c r="F16" s="17" t="s">
        <v>322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42239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9</v>
      </c>
      <c r="B21" s="1" t="s">
        <v>45</v>
      </c>
      <c r="C21" s="1" t="s">
        <v>258</v>
      </c>
      <c r="D21" s="12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1" t="s">
        <v>45</v>
      </c>
      <c r="C22" s="1" t="s">
        <v>46</v>
      </c>
      <c r="D22" s="12">
        <v>0</v>
      </c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42231</v>
      </c>
      <c r="B23" s="1" t="s">
        <v>48</v>
      </c>
      <c r="C23" s="1" t="s">
        <v>49</v>
      </c>
      <c r="D23" s="12">
        <v>102</v>
      </c>
      <c r="E23" s="1"/>
      <c r="F23" s="27" t="s">
        <v>323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42231</v>
      </c>
      <c r="B24" s="1" t="s">
        <v>27</v>
      </c>
      <c r="C24" s="1" t="s">
        <v>43</v>
      </c>
      <c r="D24" s="12"/>
      <c r="E24" s="1"/>
      <c r="F24" s="37">
        <v>217924449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3246.7799999999993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4726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1479.2200000000007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>
        <v>2363.4</v>
      </c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>
        <f>I34*2</f>
        <v>4726.8</v>
      </c>
      <c r="J35" s="12"/>
      <c r="K35" s="1"/>
      <c r="L35" s="1"/>
      <c r="M35" s="1"/>
      <c r="N35" s="1"/>
    </row>
    <row r="36" spans="1:14">
      <c r="B36" s="1"/>
      <c r="C36" s="32">
        <f>D33/4</f>
        <v>369.80500000000018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154.80500000000018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3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324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42248</v>
      </c>
      <c r="B3" s="7" t="s">
        <v>6</v>
      </c>
      <c r="C3" s="1" t="s">
        <v>131</v>
      </c>
      <c r="D3" s="8">
        <v>1243.82</v>
      </c>
      <c r="E3" s="9"/>
      <c r="F3" s="45" t="s">
        <v>325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42251</v>
      </c>
      <c r="B4" s="7" t="s">
        <v>12</v>
      </c>
      <c r="C4" s="1" t="s">
        <v>13</v>
      </c>
      <c r="D4" s="12">
        <v>156.38</v>
      </c>
      <c r="E4" s="9"/>
      <c r="F4" s="42" t="s">
        <v>326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42251</v>
      </c>
      <c r="B5" s="7" t="s">
        <v>18</v>
      </c>
      <c r="C5" s="1" t="s">
        <v>19</v>
      </c>
      <c r="D5" s="12">
        <v>193.25</v>
      </c>
      <c r="E5" s="12"/>
      <c r="F5">
        <v>84764215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42251</v>
      </c>
      <c r="B6" s="7" t="s">
        <v>303</v>
      </c>
      <c r="C6" s="1" t="s">
        <v>304</v>
      </c>
      <c r="D6" s="12">
        <v>50</v>
      </c>
      <c r="E6" s="9"/>
      <c r="F6" s="36" t="s">
        <v>327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42265</v>
      </c>
      <c r="B7" s="7" t="s">
        <v>155</v>
      </c>
      <c r="C7" s="1" t="s">
        <v>16</v>
      </c>
      <c r="D7" s="12">
        <v>61</v>
      </c>
      <c r="E7" s="12"/>
      <c r="F7" t="s">
        <v>328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293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42259</v>
      </c>
      <c r="B9" s="7" t="s">
        <v>21</v>
      </c>
      <c r="C9" s="1" t="s">
        <v>23</v>
      </c>
      <c r="D9" s="12">
        <v>236</v>
      </c>
      <c r="E9" s="9"/>
      <c r="F9" s="18" t="s">
        <v>329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330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42259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42265</v>
      </c>
      <c r="B12" s="7" t="s">
        <v>105</v>
      </c>
      <c r="C12" s="1" t="s">
        <v>186</v>
      </c>
      <c r="D12" s="12">
        <v>41.11</v>
      </c>
      <c r="E12" s="12"/>
      <c r="F12" s="18" t="s">
        <v>331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42259</v>
      </c>
      <c r="B13" s="7" t="s">
        <v>27</v>
      </c>
      <c r="C13" s="1" t="s">
        <v>28</v>
      </c>
      <c r="D13" s="12">
        <v>44.95</v>
      </c>
      <c r="E13" s="9"/>
      <c r="F13" s="44" t="s">
        <v>332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333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42265</v>
      </c>
      <c r="B15" s="7" t="s">
        <v>31</v>
      </c>
      <c r="C15" s="1" t="s">
        <v>32</v>
      </c>
      <c r="D15" s="12">
        <v>129.22</v>
      </c>
      <c r="E15" s="9"/>
      <c r="F15" s="17"/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42265</v>
      </c>
      <c r="B16" s="7" t="s">
        <v>34</v>
      </c>
      <c r="C16" s="1" t="s">
        <v>35</v>
      </c>
      <c r="D16" s="12">
        <v>161</v>
      </c>
      <c r="E16" s="9"/>
      <c r="F16" s="17" t="s">
        <v>334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42267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42251</v>
      </c>
      <c r="B21" s="1" t="s">
        <v>45</v>
      </c>
      <c r="C21" s="1" t="s">
        <v>258</v>
      </c>
      <c r="D21" s="12"/>
      <c r="E21" s="1"/>
      <c r="F21" s="18" t="s">
        <v>335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42251</v>
      </c>
      <c r="B22" s="1" t="s">
        <v>45</v>
      </c>
      <c r="C22" s="1" t="s">
        <v>46</v>
      </c>
      <c r="D22" s="12">
        <v>0</v>
      </c>
      <c r="E22" s="1"/>
      <c r="F22" s="18" t="s">
        <v>336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42259</v>
      </c>
      <c r="B23" s="1" t="s">
        <v>48</v>
      </c>
      <c r="C23" s="1" t="s">
        <v>49</v>
      </c>
      <c r="D23" s="12">
        <v>102</v>
      </c>
      <c r="E23" s="1"/>
      <c r="F23" s="27" t="s">
        <v>337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42259</v>
      </c>
      <c r="B24" s="1" t="s">
        <v>27</v>
      </c>
      <c r="C24" s="1" t="s">
        <v>43</v>
      </c>
      <c r="D24" s="12"/>
      <c r="E24" s="1"/>
      <c r="F24" s="37">
        <v>220877618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42251</v>
      </c>
      <c r="B26" s="1" t="s">
        <v>38</v>
      </c>
      <c r="C26" s="1" t="s">
        <v>39</v>
      </c>
      <c r="D26" s="23">
        <v>0</v>
      </c>
      <c r="E26" s="1"/>
      <c r="F26" s="24" t="s">
        <v>338</v>
      </c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3226.7799999999993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4726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1499.2200000000007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>
        <v>2363.4</v>
      </c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>
        <f>I34*2</f>
        <v>4726.8</v>
      </c>
      <c r="J35" s="12"/>
      <c r="K35" s="1"/>
      <c r="L35" s="1"/>
      <c r="M35" s="1"/>
      <c r="N35" s="1"/>
    </row>
    <row r="36" spans="1:14">
      <c r="B36" s="1"/>
      <c r="C36" s="32">
        <f>D33/4</f>
        <v>374.80500000000018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159.80500000000018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4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339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 t="s">
        <v>9</v>
      </c>
      <c r="B3" s="7" t="s">
        <v>6</v>
      </c>
      <c r="C3" s="1" t="s">
        <v>131</v>
      </c>
      <c r="D3" s="8">
        <v>1243.82</v>
      </c>
      <c r="E3" s="9"/>
      <c r="F3" s="45"/>
      <c r="G3" s="11"/>
      <c r="H3" s="11"/>
      <c r="I3" s="11"/>
      <c r="J3" s="11"/>
      <c r="K3" s="11"/>
      <c r="L3" s="11"/>
      <c r="M3" s="11"/>
      <c r="N3" s="11"/>
    </row>
    <row r="4" spans="1:14">
      <c r="A4" s="6">
        <v>42280</v>
      </c>
      <c r="B4" s="7" t="s">
        <v>12</v>
      </c>
      <c r="C4" s="1" t="s">
        <v>13</v>
      </c>
      <c r="D4" s="12">
        <v>156.38</v>
      </c>
      <c r="E4" s="9"/>
      <c r="F4" s="42" t="s">
        <v>340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42280</v>
      </c>
      <c r="B5" s="7" t="s">
        <v>18</v>
      </c>
      <c r="C5" s="1" t="s">
        <v>19</v>
      </c>
      <c r="D5" s="12">
        <v>193.25</v>
      </c>
      <c r="E5" s="12"/>
      <c r="F5">
        <v>85915530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42280</v>
      </c>
      <c r="B6" s="7" t="s">
        <v>303</v>
      </c>
      <c r="C6" s="1" t="s">
        <v>304</v>
      </c>
      <c r="D6" s="12">
        <v>50</v>
      </c>
      <c r="E6" s="9"/>
      <c r="F6" s="36" t="s">
        <v>341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42288</v>
      </c>
      <c r="B7" s="7" t="s">
        <v>155</v>
      </c>
      <c r="C7" s="1" t="s">
        <v>16</v>
      </c>
      <c r="D7" s="12">
        <v>61</v>
      </c>
      <c r="E7" s="12"/>
      <c r="F7" t="s">
        <v>342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293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42288</v>
      </c>
      <c r="B9" s="7" t="s">
        <v>21</v>
      </c>
      <c r="C9" s="1" t="s">
        <v>23</v>
      </c>
      <c r="D9" s="12">
        <v>236</v>
      </c>
      <c r="E9" s="9"/>
      <c r="F9" s="18" t="s">
        <v>343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42288</v>
      </c>
      <c r="B10" s="7" t="s">
        <v>21</v>
      </c>
      <c r="C10" s="1" t="s">
        <v>25</v>
      </c>
      <c r="D10" s="12">
        <v>30.25</v>
      </c>
      <c r="E10" s="16"/>
      <c r="F10" s="18" t="s">
        <v>344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42292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42292</v>
      </c>
      <c r="B12" s="7" t="s">
        <v>105</v>
      </c>
      <c r="C12" s="1" t="s">
        <v>186</v>
      </c>
      <c r="D12" s="12">
        <v>41.11</v>
      </c>
      <c r="E12" s="12"/>
      <c r="F12" s="18" t="s">
        <v>345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42292</v>
      </c>
      <c r="B13" s="7" t="s">
        <v>27</v>
      </c>
      <c r="C13" s="1" t="s">
        <v>28</v>
      </c>
      <c r="D13" s="12">
        <v>44.95</v>
      </c>
      <c r="E13" s="9"/>
      <c r="F13" s="44" t="s">
        <v>346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333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42294</v>
      </c>
      <c r="B15" s="7" t="s">
        <v>31</v>
      </c>
      <c r="C15" s="1" t="s">
        <v>32</v>
      </c>
      <c r="D15" s="12">
        <v>129.22</v>
      </c>
      <c r="E15" s="9"/>
      <c r="F15" s="17" t="s">
        <v>347</v>
      </c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42302</v>
      </c>
      <c r="B16" s="7" t="s">
        <v>34</v>
      </c>
      <c r="C16" s="1" t="s">
        <v>35</v>
      </c>
      <c r="D16" s="12">
        <v>161</v>
      </c>
      <c r="E16" s="9"/>
      <c r="F16" s="46">
        <v>40450338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42302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42280</v>
      </c>
      <c r="B21" s="1" t="s">
        <v>45</v>
      </c>
      <c r="C21" s="1" t="s">
        <v>258</v>
      </c>
      <c r="D21" s="12"/>
      <c r="E21" s="1"/>
      <c r="F21" s="18" t="s">
        <v>348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42280</v>
      </c>
      <c r="B22" s="1" t="s">
        <v>45</v>
      </c>
      <c r="C22" s="1" t="s">
        <v>46</v>
      </c>
      <c r="D22" s="12">
        <v>0</v>
      </c>
      <c r="E22" s="1"/>
      <c r="F22" s="18" t="s">
        <v>349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42293</v>
      </c>
      <c r="B23" s="1" t="s">
        <v>48</v>
      </c>
      <c r="C23" s="1" t="s">
        <v>49</v>
      </c>
      <c r="D23" s="12">
        <v>102</v>
      </c>
      <c r="E23" s="1"/>
      <c r="F23" s="27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42292</v>
      </c>
      <c r="B24" s="1" t="s">
        <v>27</v>
      </c>
      <c r="C24" s="1" t="s">
        <v>43</v>
      </c>
      <c r="D24" s="12"/>
      <c r="E24" s="1"/>
      <c r="F24" s="37">
        <v>224503139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3226.7799999999993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4726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1499.2200000000007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>
        <v>2363.4</v>
      </c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>
        <f>I34*2</f>
        <v>4726.8</v>
      </c>
      <c r="J35" s="12"/>
      <c r="K35" s="1"/>
      <c r="L35" s="1"/>
      <c r="M35" s="1"/>
      <c r="N35" s="1"/>
    </row>
    <row r="36" spans="1:14">
      <c r="B36" s="1"/>
      <c r="C36" s="32">
        <f>D33/4</f>
        <v>374.80500000000018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159.80500000000018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5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350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 t="s">
        <v>9</v>
      </c>
      <c r="B3" s="7" t="s">
        <v>6</v>
      </c>
      <c r="C3" s="1" t="s">
        <v>131</v>
      </c>
      <c r="D3" s="8">
        <v>0</v>
      </c>
      <c r="E3" s="9"/>
      <c r="F3" s="45"/>
      <c r="G3" s="11"/>
      <c r="H3" s="11"/>
      <c r="I3" s="11"/>
      <c r="J3" s="11"/>
      <c r="K3" s="11"/>
      <c r="L3" s="11"/>
      <c r="M3" s="11"/>
      <c r="N3" s="11"/>
    </row>
    <row r="4" spans="1:14">
      <c r="A4" s="6">
        <v>42309</v>
      </c>
      <c r="B4" s="7" t="s">
        <v>12</v>
      </c>
      <c r="C4" s="1" t="s">
        <v>13</v>
      </c>
      <c r="D4" s="12">
        <v>156.38</v>
      </c>
      <c r="E4" s="9"/>
      <c r="F4" s="42" t="s">
        <v>351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42309</v>
      </c>
      <c r="B5" s="7" t="s">
        <v>18</v>
      </c>
      <c r="C5" s="1" t="s">
        <v>19</v>
      </c>
      <c r="D5" s="12">
        <v>193.25</v>
      </c>
      <c r="E5" s="12"/>
      <c r="F5">
        <v>87080390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42309</v>
      </c>
      <c r="B6" s="7" t="s">
        <v>303</v>
      </c>
      <c r="C6" s="1" t="s">
        <v>304</v>
      </c>
      <c r="D6" s="12">
        <v>50</v>
      </c>
      <c r="E6" s="9"/>
      <c r="F6" s="36"/>
      <c r="G6" s="11"/>
      <c r="H6" s="11"/>
      <c r="I6" s="11"/>
      <c r="J6" s="11"/>
      <c r="K6" s="11"/>
      <c r="L6" s="11"/>
      <c r="M6" s="11"/>
      <c r="N6" s="11"/>
    </row>
    <row r="7" spans="1:14">
      <c r="A7" s="6">
        <v>42323</v>
      </c>
      <c r="B7" s="7" t="s">
        <v>155</v>
      </c>
      <c r="C7" s="1" t="s">
        <v>16</v>
      </c>
      <c r="D7" s="12">
        <v>61</v>
      </c>
      <c r="E7" s="12"/>
      <c r="F7" t="s">
        <v>352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293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42323</v>
      </c>
      <c r="B9" s="7" t="s">
        <v>21</v>
      </c>
      <c r="C9" s="1" t="s">
        <v>23</v>
      </c>
      <c r="D9" s="12">
        <v>236</v>
      </c>
      <c r="E9" s="9"/>
      <c r="F9" s="18" t="s">
        <v>353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42323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42323</v>
      </c>
      <c r="B12" s="7" t="s">
        <v>105</v>
      </c>
      <c r="C12" s="1" t="s">
        <v>186</v>
      </c>
      <c r="D12" s="12">
        <v>41.11</v>
      </c>
      <c r="E12" s="12"/>
      <c r="F12" s="18" t="s">
        <v>354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42323</v>
      </c>
      <c r="B13" s="7" t="s">
        <v>27</v>
      </c>
      <c r="C13" s="1" t="s">
        <v>28</v>
      </c>
      <c r="D13" s="12">
        <v>44.95</v>
      </c>
      <c r="E13" s="9"/>
      <c r="F13" s="44" t="s">
        <v>355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333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42323</v>
      </c>
      <c r="B15" s="7" t="s">
        <v>31</v>
      </c>
      <c r="C15" s="1" t="s">
        <v>32</v>
      </c>
      <c r="D15" s="12">
        <v>129.22</v>
      </c>
      <c r="E15" s="9"/>
      <c r="F15" s="17"/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42323</v>
      </c>
      <c r="B16" s="7" t="s">
        <v>34</v>
      </c>
      <c r="C16" s="1" t="s">
        <v>35</v>
      </c>
      <c r="D16" s="12">
        <v>161</v>
      </c>
      <c r="E16" s="9"/>
      <c r="F16" s="17"/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42334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42309</v>
      </c>
      <c r="B21" s="1" t="s">
        <v>45</v>
      </c>
      <c r="C21" s="1" t="s">
        <v>258</v>
      </c>
      <c r="D21" s="12"/>
      <c r="E21" s="1"/>
      <c r="F21" s="18" t="s">
        <v>356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42309</v>
      </c>
      <c r="B22" s="1" t="s">
        <v>45</v>
      </c>
      <c r="C22" s="1" t="s">
        <v>46</v>
      </c>
      <c r="D22" s="12">
        <v>0</v>
      </c>
      <c r="E22" s="1"/>
      <c r="F22" s="18" t="s">
        <v>357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42323</v>
      </c>
      <c r="B23" s="1" t="s">
        <v>48</v>
      </c>
      <c r="C23" s="1" t="s">
        <v>49</v>
      </c>
      <c r="D23" s="12">
        <v>102</v>
      </c>
      <c r="E23" s="1"/>
      <c r="F23" s="27" t="s">
        <v>358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42323</v>
      </c>
      <c r="B24" s="1" t="s">
        <v>27</v>
      </c>
      <c r="C24" s="1" t="s">
        <v>43</v>
      </c>
      <c r="D24" s="12"/>
      <c r="E24" s="1"/>
      <c r="F24" s="37"/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1982.96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4726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2743.04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>
        <v>2363.4</v>
      </c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>
        <f>I34*2</f>
        <v>4726.8</v>
      </c>
      <c r="J35" s="12"/>
      <c r="K35" s="1"/>
      <c r="L35" s="1"/>
      <c r="M35" s="1"/>
      <c r="N35" s="1"/>
    </row>
    <row r="36" spans="1:14">
      <c r="B36" s="1"/>
      <c r="C36" s="32">
        <f>D33/4</f>
        <v>685.76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470.76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6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50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350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42337</v>
      </c>
      <c r="B3" s="7" t="s">
        <v>6</v>
      </c>
      <c r="C3" s="1" t="s">
        <v>359</v>
      </c>
      <c r="D3" s="8">
        <v>1148.6500000000001</v>
      </c>
      <c r="E3" s="9"/>
      <c r="F3" s="45" t="s">
        <v>360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42337</v>
      </c>
      <c r="B4" s="7" t="s">
        <v>6</v>
      </c>
      <c r="C4" s="1" t="s">
        <v>361</v>
      </c>
      <c r="D4" s="8">
        <v>225</v>
      </c>
      <c r="E4" s="9"/>
      <c r="F4" s="45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42337</v>
      </c>
      <c r="B5" s="7" t="s">
        <v>12</v>
      </c>
      <c r="C5" s="1" t="s">
        <v>13</v>
      </c>
      <c r="D5" s="12">
        <v>156.38</v>
      </c>
      <c r="E5" s="9"/>
      <c r="F5" s="42">
        <v>29265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42337</v>
      </c>
      <c r="B6" s="7" t="s">
        <v>18</v>
      </c>
      <c r="C6" s="1" t="s">
        <v>19</v>
      </c>
      <c r="D6" s="12">
        <v>193.25</v>
      </c>
      <c r="E6" s="12"/>
      <c r="F6">
        <v>88227091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42350</v>
      </c>
      <c r="B7" s="7" t="s">
        <v>303</v>
      </c>
      <c r="C7" s="1" t="s">
        <v>304</v>
      </c>
      <c r="D7" s="12">
        <v>50</v>
      </c>
      <c r="E7" s="9"/>
      <c r="F7" s="36" t="s">
        <v>362</v>
      </c>
      <c r="G7" s="11"/>
      <c r="H7" s="11"/>
      <c r="I7" s="11"/>
      <c r="J7" s="11"/>
      <c r="K7" s="11"/>
      <c r="L7" s="11"/>
      <c r="M7" s="11"/>
      <c r="N7" s="11"/>
    </row>
    <row r="8" spans="1:14">
      <c r="A8" s="6">
        <v>42352</v>
      </c>
      <c r="B8" s="7" t="s">
        <v>155</v>
      </c>
      <c r="C8" s="1" t="s">
        <v>16</v>
      </c>
      <c r="D8" s="12">
        <v>61</v>
      </c>
      <c r="E8" s="12"/>
      <c r="G8" s="11"/>
      <c r="H8" s="11"/>
      <c r="I8" s="11"/>
      <c r="J8" s="11"/>
      <c r="K8" s="11"/>
      <c r="L8" s="11"/>
      <c r="M8" s="11"/>
      <c r="N8" s="11"/>
    </row>
    <row r="9" spans="1:14">
      <c r="A9" s="6" t="s">
        <v>9</v>
      </c>
      <c r="B9" s="7" t="s">
        <v>21</v>
      </c>
      <c r="C9" s="1" t="s">
        <v>363</v>
      </c>
      <c r="D9" s="12">
        <v>0</v>
      </c>
      <c r="E9" s="9"/>
      <c r="F9" s="36"/>
      <c r="G9" s="16"/>
      <c r="H9" s="7"/>
      <c r="I9" s="7"/>
      <c r="J9" s="7"/>
      <c r="K9" s="7"/>
      <c r="L9" s="7"/>
      <c r="M9" s="7"/>
      <c r="N9" s="7"/>
    </row>
    <row r="10" spans="1:14">
      <c r="A10" s="6">
        <v>42351</v>
      </c>
      <c r="B10" s="7" t="s">
        <v>21</v>
      </c>
      <c r="C10" s="1" t="s">
        <v>23</v>
      </c>
      <c r="D10" s="12">
        <v>236</v>
      </c>
      <c r="E10" s="9"/>
      <c r="F10" s="18"/>
      <c r="G10" s="1"/>
      <c r="H10" s="1"/>
      <c r="I10" s="1"/>
      <c r="J10" s="1"/>
      <c r="K10" s="1"/>
      <c r="L10" s="1"/>
      <c r="M10" s="1"/>
      <c r="N10" s="1"/>
    </row>
    <row r="11" spans="1:14">
      <c r="A11" s="6">
        <v>42351</v>
      </c>
      <c r="B11" s="7" t="s">
        <v>21</v>
      </c>
      <c r="C11" s="1" t="s">
        <v>25</v>
      </c>
      <c r="D11" s="12">
        <v>30.25</v>
      </c>
      <c r="E11" s="16"/>
      <c r="F11" s="19" t="s">
        <v>364</v>
      </c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42353</v>
      </c>
      <c r="B12" s="7" t="s">
        <v>21</v>
      </c>
      <c r="C12" s="1" t="s">
        <v>209</v>
      </c>
      <c r="D12" s="12">
        <v>494.14</v>
      </c>
      <c r="E12" s="16"/>
      <c r="F12" s="19"/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42351</v>
      </c>
      <c r="B13" s="7" t="s">
        <v>105</v>
      </c>
      <c r="C13" s="1" t="s">
        <v>186</v>
      </c>
      <c r="D13" s="12">
        <v>41.11</v>
      </c>
      <c r="E13" s="12"/>
      <c r="F13" s="18" t="s">
        <v>365</v>
      </c>
      <c r="G13" s="35" t="s">
        <v>74</v>
      </c>
      <c r="H13" s="1"/>
      <c r="I13" s="1"/>
      <c r="J13" s="1"/>
      <c r="K13" s="1"/>
      <c r="L13" s="1"/>
      <c r="M13" s="1"/>
      <c r="N13" s="1"/>
    </row>
    <row r="14" spans="1:14">
      <c r="A14" s="6">
        <v>42351</v>
      </c>
      <c r="B14" s="7" t="s">
        <v>27</v>
      </c>
      <c r="C14" s="1" t="s">
        <v>28</v>
      </c>
      <c r="D14" s="12">
        <v>44.95</v>
      </c>
      <c r="E14" s="9"/>
      <c r="F14" s="44"/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0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42351</v>
      </c>
      <c r="B16" s="7" t="s">
        <v>31</v>
      </c>
      <c r="C16" s="1" t="s">
        <v>32</v>
      </c>
      <c r="D16" s="12">
        <v>129.22</v>
      </c>
      <c r="E16" s="9"/>
      <c r="F16" s="17" t="s">
        <v>366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42364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6">
        <v>42364</v>
      </c>
      <c r="B18" s="7" t="s">
        <v>367</v>
      </c>
      <c r="C18" s="1" t="s">
        <v>35</v>
      </c>
      <c r="D18" s="12">
        <v>161</v>
      </c>
      <c r="E18" s="9"/>
      <c r="F18" s="17" t="s">
        <v>368</v>
      </c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7"/>
      <c r="C19" s="1"/>
      <c r="D19" s="1"/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2" t="s">
        <v>37</v>
      </c>
      <c r="D21" s="1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1" t="s">
        <v>45</v>
      </c>
      <c r="C22" s="1" t="s">
        <v>258</v>
      </c>
      <c r="D22" s="12"/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6" t="s">
        <v>9</v>
      </c>
      <c r="B23" s="1" t="s">
        <v>45</v>
      </c>
      <c r="C23" s="1" t="s">
        <v>46</v>
      </c>
      <c r="D23" s="12">
        <v>0</v>
      </c>
      <c r="E23" s="1"/>
      <c r="F23" s="18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42351</v>
      </c>
      <c r="B24" s="1" t="s">
        <v>48</v>
      </c>
      <c r="C24" s="1" t="s">
        <v>49</v>
      </c>
      <c r="D24" s="12">
        <v>102</v>
      </c>
      <c r="E24" s="1"/>
      <c r="F24" s="27" t="s">
        <v>369</v>
      </c>
      <c r="G24" s="1"/>
      <c r="H24" s="1"/>
      <c r="I24" s="1"/>
      <c r="J24" s="1"/>
      <c r="K24" s="1"/>
      <c r="L24" s="1"/>
      <c r="M24" s="1"/>
      <c r="N24" s="1"/>
    </row>
    <row r="25" spans="1:14">
      <c r="A25" s="6">
        <v>42351</v>
      </c>
      <c r="B25" s="1" t="s">
        <v>27</v>
      </c>
      <c r="C25" s="1" t="s">
        <v>43</v>
      </c>
      <c r="D25" s="12"/>
      <c r="E25" s="1"/>
      <c r="F25" s="37">
        <v>231207196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51</v>
      </c>
      <c r="C26" s="1" t="s">
        <v>52</v>
      </c>
      <c r="E26" s="1"/>
      <c r="F26" s="18"/>
      <c r="G26" s="1"/>
      <c r="H26" s="1"/>
      <c r="I26" s="1"/>
      <c r="J26" s="1"/>
      <c r="K26" s="1"/>
      <c r="L26" s="1"/>
      <c r="M26" s="1"/>
      <c r="N26" s="1"/>
    </row>
    <row r="27" spans="1:14">
      <c r="A27" s="6">
        <v>42351</v>
      </c>
      <c r="B27" s="1" t="s">
        <v>38</v>
      </c>
      <c r="C27" s="1" t="s">
        <v>39</v>
      </c>
      <c r="D27" s="23">
        <v>0</v>
      </c>
      <c r="E27" s="1"/>
      <c r="F27" s="24" t="s">
        <v>370</v>
      </c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3356.6099999999997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4726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1369.3900000000003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>
        <v>2363.4</v>
      </c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>
        <f>I35*2</f>
        <v>4726.8</v>
      </c>
      <c r="J36" s="12"/>
      <c r="K36" s="1"/>
      <c r="L36" s="1"/>
      <c r="M36" s="1"/>
      <c r="N36" s="1"/>
    </row>
    <row r="37" spans="1:14">
      <c r="B37" s="1"/>
      <c r="C37" s="32">
        <f>D34/4</f>
        <v>342.34750000000008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55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97.347500000000082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1992</v>
      </c>
      <c r="H48" s="1" t="s">
        <v>112</v>
      </c>
    </row>
    <row r="49" spans="7:8">
      <c r="G49" s="1">
        <f>G48*26</f>
        <v>51792</v>
      </c>
      <c r="H49" s="1" t="s">
        <v>113</v>
      </c>
    </row>
    <row r="50" spans="7:8">
      <c r="G50" s="1">
        <f>G49/12</f>
        <v>4316</v>
      </c>
      <c r="H50" s="1" t="s">
        <v>114</v>
      </c>
    </row>
  </sheetData>
  <mergeCells count="1">
    <mergeCell ref="A1:D1"/>
  </mergeCells>
  <hyperlinks>
    <hyperlink ref="G13" r:id="rId1" xr:uid="{00000000-0004-0000-17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50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371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42369</v>
      </c>
      <c r="B3" s="7" t="s">
        <v>6</v>
      </c>
      <c r="C3" s="1" t="s">
        <v>359</v>
      </c>
      <c r="D3" s="8">
        <v>1148.6500000000001</v>
      </c>
      <c r="E3" s="9"/>
      <c r="F3" s="45" t="s">
        <v>372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42373</v>
      </c>
      <c r="B4" s="7" t="s">
        <v>6</v>
      </c>
      <c r="C4" s="1" t="s">
        <v>361</v>
      </c>
      <c r="D4" s="8">
        <v>225</v>
      </c>
      <c r="E4" s="9"/>
      <c r="F4" s="45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42369</v>
      </c>
      <c r="B5" s="7" t="s">
        <v>12</v>
      </c>
      <c r="C5" s="1" t="s">
        <v>13</v>
      </c>
      <c r="D5" s="12">
        <v>156.38</v>
      </c>
      <c r="E5" s="9"/>
      <c r="F5" s="42" t="s">
        <v>373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42377</v>
      </c>
      <c r="B6" s="7" t="s">
        <v>18</v>
      </c>
      <c r="C6" s="1" t="s">
        <v>19</v>
      </c>
      <c r="D6" s="12">
        <v>193.25</v>
      </c>
      <c r="E6" s="12"/>
      <c r="F6">
        <v>89798779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42378</v>
      </c>
      <c r="B7" s="7" t="s">
        <v>303</v>
      </c>
      <c r="C7" s="1" t="s">
        <v>304</v>
      </c>
      <c r="D7" s="12">
        <v>50</v>
      </c>
      <c r="E7" s="9"/>
      <c r="F7" s="36" t="s">
        <v>374</v>
      </c>
      <c r="G7" s="11"/>
      <c r="H7" s="11"/>
      <c r="I7" s="11"/>
      <c r="J7" s="11"/>
      <c r="K7" s="11"/>
      <c r="L7" s="11"/>
      <c r="M7" s="11"/>
      <c r="N7" s="11"/>
    </row>
    <row r="8" spans="1:14">
      <c r="A8" s="6">
        <v>42378</v>
      </c>
      <c r="B8" s="7" t="s">
        <v>155</v>
      </c>
      <c r="C8" s="1" t="s">
        <v>16</v>
      </c>
      <c r="D8" s="12">
        <v>61</v>
      </c>
      <c r="E8" s="12"/>
      <c r="F8" t="s">
        <v>375</v>
      </c>
      <c r="G8" s="11"/>
      <c r="H8" s="11"/>
      <c r="I8" s="11"/>
      <c r="J8" s="11"/>
      <c r="K8" s="11"/>
      <c r="L8" s="11"/>
      <c r="M8" s="11"/>
      <c r="N8" s="11"/>
    </row>
    <row r="9" spans="1:14">
      <c r="A9" s="6" t="s">
        <v>9</v>
      </c>
      <c r="B9" s="7" t="s">
        <v>21</v>
      </c>
      <c r="C9" s="1" t="s">
        <v>363</v>
      </c>
      <c r="D9" s="12">
        <v>0</v>
      </c>
      <c r="E9" s="9"/>
      <c r="F9" s="36"/>
      <c r="G9" s="16"/>
      <c r="H9" s="7"/>
      <c r="I9" s="7"/>
      <c r="J9" s="7"/>
      <c r="K9" s="7"/>
      <c r="L9" s="7"/>
      <c r="M9" s="7"/>
      <c r="N9" s="7"/>
    </row>
    <row r="10" spans="1:14">
      <c r="A10" s="6">
        <v>42378</v>
      </c>
      <c r="B10" s="7" t="s">
        <v>21</v>
      </c>
      <c r="C10" s="1" t="s">
        <v>23</v>
      </c>
      <c r="D10" s="12">
        <v>236</v>
      </c>
      <c r="E10" s="9"/>
      <c r="F10" s="18" t="s">
        <v>376</v>
      </c>
      <c r="G10" s="1"/>
      <c r="H10" s="1"/>
      <c r="I10" s="1"/>
      <c r="J10" s="1"/>
      <c r="K10" s="1"/>
      <c r="L10" s="1"/>
      <c r="M10" s="1"/>
      <c r="N10" s="1"/>
    </row>
    <row r="11" spans="1:14">
      <c r="A11" s="6" t="s">
        <v>9</v>
      </c>
      <c r="B11" s="7" t="s">
        <v>21</v>
      </c>
      <c r="C11" s="1" t="s">
        <v>25</v>
      </c>
      <c r="D11" s="12">
        <v>30.25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42378</v>
      </c>
      <c r="B12" s="7" t="s">
        <v>21</v>
      </c>
      <c r="C12" s="1" t="s">
        <v>209</v>
      </c>
      <c r="D12" s="12">
        <v>494.14</v>
      </c>
      <c r="E12" s="16"/>
      <c r="F12" s="19"/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42378</v>
      </c>
      <c r="B13" s="7" t="s">
        <v>105</v>
      </c>
      <c r="C13" s="1" t="s">
        <v>186</v>
      </c>
      <c r="D13" s="12">
        <v>41.11</v>
      </c>
      <c r="E13" s="12"/>
      <c r="F13" s="18" t="s">
        <v>377</v>
      </c>
      <c r="G13" s="35" t="s">
        <v>74</v>
      </c>
      <c r="H13" s="1"/>
      <c r="I13" s="1"/>
      <c r="J13" s="1"/>
      <c r="K13" s="1"/>
      <c r="L13" s="1"/>
      <c r="M13" s="1"/>
      <c r="N13" s="1"/>
    </row>
    <row r="14" spans="1:14">
      <c r="A14" s="6">
        <v>42378</v>
      </c>
      <c r="B14" s="7" t="s">
        <v>27</v>
      </c>
      <c r="C14" s="1" t="s">
        <v>28</v>
      </c>
      <c r="D14" s="12">
        <v>44.95</v>
      </c>
      <c r="E14" s="9"/>
      <c r="F14" s="44" t="s">
        <v>378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0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42394</v>
      </c>
      <c r="B16" s="7" t="s">
        <v>31</v>
      </c>
      <c r="C16" s="1" t="s">
        <v>32</v>
      </c>
      <c r="D16" s="12">
        <v>129.22</v>
      </c>
      <c r="E16" s="9"/>
      <c r="F16" s="47"/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42395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6">
        <v>42395</v>
      </c>
      <c r="B18" s="7" t="s">
        <v>367</v>
      </c>
      <c r="C18" s="1" t="s">
        <v>35</v>
      </c>
      <c r="D18" s="12">
        <v>161</v>
      </c>
      <c r="E18" s="9"/>
      <c r="F18" s="17" t="s">
        <v>379</v>
      </c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7"/>
      <c r="C19" s="1"/>
      <c r="D19" s="1"/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2" t="s">
        <v>37</v>
      </c>
      <c r="D21" s="1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42378</v>
      </c>
      <c r="B22" s="1" t="s">
        <v>45</v>
      </c>
      <c r="C22" s="1" t="s">
        <v>258</v>
      </c>
      <c r="D22" s="12"/>
      <c r="E22" s="1"/>
      <c r="F22" s="18" t="s">
        <v>380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42378</v>
      </c>
      <c r="B23" s="1" t="s">
        <v>45</v>
      </c>
      <c r="C23" s="1" t="s">
        <v>46</v>
      </c>
      <c r="D23" s="12">
        <v>0</v>
      </c>
      <c r="E23" s="1"/>
      <c r="F23" s="18" t="s">
        <v>381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42378</v>
      </c>
      <c r="B24" s="1" t="s">
        <v>48</v>
      </c>
      <c r="C24" s="1" t="s">
        <v>49</v>
      </c>
      <c r="D24" s="12">
        <v>102</v>
      </c>
      <c r="E24" s="1"/>
      <c r="F24" s="27"/>
      <c r="G24" s="1"/>
      <c r="H24" s="1"/>
      <c r="I24" s="1"/>
      <c r="J24" s="1"/>
      <c r="K24" s="1"/>
      <c r="L24" s="1"/>
      <c r="M24" s="1"/>
      <c r="N24" s="1"/>
    </row>
    <row r="25" spans="1:14">
      <c r="A25" s="6">
        <v>42378</v>
      </c>
      <c r="B25" s="1" t="s">
        <v>27</v>
      </c>
      <c r="C25" s="1" t="s">
        <v>43</v>
      </c>
      <c r="D25" s="12"/>
      <c r="E25" s="1"/>
      <c r="F25" s="37">
        <v>234173167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51</v>
      </c>
      <c r="C26" s="1" t="s">
        <v>52</v>
      </c>
      <c r="E26" s="1"/>
      <c r="F26" s="18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38</v>
      </c>
      <c r="C27" s="1" t="s">
        <v>39</v>
      </c>
      <c r="D27" s="23">
        <v>0</v>
      </c>
      <c r="E27" s="1"/>
      <c r="F27" s="24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3356.6099999999997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4726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1369.3900000000003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>
        <v>2363.4</v>
      </c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>
        <f>I35*2</f>
        <v>4726.8</v>
      </c>
      <c r="J36" s="12"/>
      <c r="K36" s="1"/>
      <c r="L36" s="1"/>
      <c r="M36" s="1"/>
      <c r="N36" s="1"/>
    </row>
    <row r="37" spans="1:14">
      <c r="B37" s="1"/>
      <c r="C37" s="32">
        <f>D34/4</f>
        <v>342.34750000000008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55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97.347500000000082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1992</v>
      </c>
      <c r="H48" s="1" t="s">
        <v>112</v>
      </c>
    </row>
    <row r="49" spans="7:8">
      <c r="G49" s="1">
        <f>G48*26</f>
        <v>51792</v>
      </c>
      <c r="H49" s="1" t="s">
        <v>113</v>
      </c>
    </row>
    <row r="50" spans="7:8">
      <c r="G50" s="1">
        <f>G49/12</f>
        <v>4316</v>
      </c>
      <c r="H50" s="1" t="s">
        <v>114</v>
      </c>
    </row>
  </sheetData>
  <mergeCells count="1">
    <mergeCell ref="A1:D1"/>
  </mergeCells>
  <hyperlinks>
    <hyperlink ref="G13" r:id="rId1" xr:uid="{00000000-0004-0000-18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50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382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42405</v>
      </c>
      <c r="B3" s="7" t="s">
        <v>6</v>
      </c>
      <c r="C3" s="1" t="s">
        <v>359</v>
      </c>
      <c r="D3" s="8">
        <v>1148.6500000000001</v>
      </c>
      <c r="E3" s="9"/>
      <c r="F3" s="45" t="s">
        <v>383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42402</v>
      </c>
      <c r="B4" s="7" t="s">
        <v>6</v>
      </c>
      <c r="C4" s="1" t="s">
        <v>361</v>
      </c>
      <c r="D4" s="8">
        <v>225</v>
      </c>
      <c r="E4" s="9"/>
      <c r="F4" s="45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42402</v>
      </c>
      <c r="B5" s="7" t="s">
        <v>12</v>
      </c>
      <c r="C5" s="1" t="s">
        <v>13</v>
      </c>
      <c r="D5" s="12">
        <v>156.38</v>
      </c>
      <c r="E5" s="9"/>
      <c r="F5" s="42" t="s">
        <v>384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42405</v>
      </c>
      <c r="B6" s="7" t="s">
        <v>18</v>
      </c>
      <c r="C6" s="1" t="s">
        <v>19</v>
      </c>
      <c r="D6" s="12">
        <v>193.25</v>
      </c>
      <c r="E6" s="12"/>
      <c r="F6">
        <v>91157986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42405</v>
      </c>
      <c r="B7" s="7" t="s">
        <v>303</v>
      </c>
      <c r="C7" s="1" t="s">
        <v>304</v>
      </c>
      <c r="D7" s="12">
        <v>50</v>
      </c>
      <c r="E7" s="9"/>
      <c r="F7" s="36" t="s">
        <v>385</v>
      </c>
      <c r="G7" s="11"/>
      <c r="H7" s="11"/>
      <c r="I7" s="11"/>
      <c r="J7" s="11"/>
      <c r="K7" s="11"/>
      <c r="L7" s="11"/>
      <c r="M7" s="11"/>
      <c r="N7" s="11"/>
    </row>
    <row r="8" spans="1:14">
      <c r="A8" s="6">
        <v>42411</v>
      </c>
      <c r="B8" s="7" t="s">
        <v>155</v>
      </c>
      <c r="C8" s="1" t="s">
        <v>16</v>
      </c>
      <c r="D8" s="12">
        <v>61</v>
      </c>
      <c r="E8" s="12"/>
      <c r="F8" t="s">
        <v>386</v>
      </c>
      <c r="G8" s="11"/>
      <c r="H8" s="11"/>
      <c r="I8" s="11"/>
      <c r="J8" s="11"/>
      <c r="K8" s="11"/>
      <c r="L8" s="11"/>
      <c r="M8" s="11"/>
      <c r="N8" s="11"/>
    </row>
    <row r="9" spans="1:14">
      <c r="A9" s="6">
        <v>42411</v>
      </c>
      <c r="B9" s="7" t="s">
        <v>21</v>
      </c>
      <c r="C9" s="1" t="s">
        <v>387</v>
      </c>
      <c r="D9" s="12">
        <v>0</v>
      </c>
      <c r="E9" s="9"/>
      <c r="F9" s="36"/>
      <c r="G9" s="16"/>
      <c r="H9" s="7"/>
      <c r="I9" s="7"/>
      <c r="J9" s="7"/>
      <c r="K9" s="7"/>
      <c r="L9" s="7"/>
      <c r="M9" s="7"/>
      <c r="N9" s="7"/>
    </row>
    <row r="10" spans="1:14">
      <c r="A10" s="6">
        <v>42411</v>
      </c>
      <c r="B10" s="7" t="s">
        <v>21</v>
      </c>
      <c r="C10" s="1" t="s">
        <v>23</v>
      </c>
      <c r="D10" s="12">
        <v>236</v>
      </c>
      <c r="E10" s="9"/>
      <c r="F10" s="18" t="s">
        <v>388</v>
      </c>
      <c r="G10" s="1"/>
      <c r="H10" s="1"/>
      <c r="I10" s="1"/>
      <c r="J10" s="1"/>
      <c r="K10" s="1"/>
      <c r="L10" s="1"/>
      <c r="M10" s="1"/>
      <c r="N10" s="1"/>
    </row>
    <row r="11" spans="1:14">
      <c r="A11" s="6">
        <v>42411</v>
      </c>
      <c r="B11" s="7" t="s">
        <v>21</v>
      </c>
      <c r="C11" s="1" t="s">
        <v>25</v>
      </c>
      <c r="D11" s="12">
        <v>30.25</v>
      </c>
      <c r="E11" s="16"/>
      <c r="F11" s="19" t="s">
        <v>389</v>
      </c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42411</v>
      </c>
      <c r="B12" s="7" t="s">
        <v>21</v>
      </c>
      <c r="C12" s="1" t="s">
        <v>209</v>
      </c>
      <c r="D12" s="12">
        <v>494.14</v>
      </c>
      <c r="E12" s="16"/>
      <c r="F12" s="19"/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42411</v>
      </c>
      <c r="B13" s="7" t="s">
        <v>105</v>
      </c>
      <c r="C13" s="1" t="s">
        <v>186</v>
      </c>
      <c r="D13" s="12">
        <v>41.11</v>
      </c>
      <c r="E13" s="12"/>
      <c r="F13" s="18" t="s">
        <v>390</v>
      </c>
      <c r="G13" s="35" t="s">
        <v>74</v>
      </c>
      <c r="H13" s="1"/>
      <c r="I13" s="1"/>
      <c r="J13" s="1"/>
      <c r="K13" s="1"/>
      <c r="L13" s="1"/>
      <c r="M13" s="1"/>
      <c r="N13" s="1"/>
    </row>
    <row r="14" spans="1:14">
      <c r="A14" s="6">
        <v>42414</v>
      </c>
      <c r="B14" s="7" t="s">
        <v>27</v>
      </c>
      <c r="C14" s="1" t="s">
        <v>28</v>
      </c>
      <c r="D14" s="12">
        <v>44.95</v>
      </c>
      <c r="E14" s="9"/>
      <c r="F14" s="44" t="s">
        <v>391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0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42421</v>
      </c>
      <c r="B16" s="7" t="s">
        <v>31</v>
      </c>
      <c r="C16" s="1" t="s">
        <v>32</v>
      </c>
      <c r="D16" s="12">
        <v>129.22</v>
      </c>
      <c r="E16" s="9"/>
      <c r="F16" s="47"/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42421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6">
        <v>42421</v>
      </c>
      <c r="B18" s="7" t="s">
        <v>367</v>
      </c>
      <c r="C18" s="1" t="s">
        <v>35</v>
      </c>
      <c r="D18" s="12">
        <v>161</v>
      </c>
      <c r="E18" s="9"/>
      <c r="F18" s="17" t="s">
        <v>392</v>
      </c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7"/>
      <c r="C19" s="1"/>
      <c r="D19" s="1"/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2" t="s">
        <v>37</v>
      </c>
      <c r="D21" s="1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42405</v>
      </c>
      <c r="B22" s="1" t="s">
        <v>45</v>
      </c>
      <c r="C22" s="1" t="s">
        <v>258</v>
      </c>
      <c r="D22" s="12"/>
      <c r="E22" s="1"/>
      <c r="F22" s="18" t="s">
        <v>393</v>
      </c>
      <c r="G22" s="1"/>
      <c r="H22" s="1"/>
      <c r="I22" s="1"/>
      <c r="J22" s="1"/>
      <c r="K22" s="1"/>
      <c r="L22" s="1"/>
      <c r="M22" s="1"/>
      <c r="N22" s="1"/>
    </row>
    <row r="23" spans="1:14">
      <c r="A23" s="6" t="s">
        <v>9</v>
      </c>
      <c r="B23" s="1" t="s">
        <v>45</v>
      </c>
      <c r="C23" s="1" t="s">
        <v>46</v>
      </c>
      <c r="D23" s="12">
        <v>0</v>
      </c>
      <c r="E23" s="1"/>
      <c r="F23" s="18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42414</v>
      </c>
      <c r="B24" s="1" t="s">
        <v>48</v>
      </c>
      <c r="C24" s="1" t="s">
        <v>49</v>
      </c>
      <c r="D24" s="12">
        <v>102</v>
      </c>
      <c r="E24" s="1"/>
      <c r="F24" s="27" t="s">
        <v>394</v>
      </c>
      <c r="G24" s="1"/>
      <c r="H24" s="1"/>
      <c r="I24" s="1"/>
      <c r="J24" s="1"/>
      <c r="K24" s="1"/>
      <c r="L24" s="1"/>
      <c r="M24" s="1"/>
      <c r="N24" s="1"/>
    </row>
    <row r="25" spans="1:14">
      <c r="A25" s="6">
        <v>42414</v>
      </c>
      <c r="B25" s="1" t="s">
        <v>27</v>
      </c>
      <c r="C25" s="1" t="s">
        <v>43</v>
      </c>
      <c r="D25" s="12"/>
      <c r="E25" s="1"/>
      <c r="F25" s="37">
        <v>238418504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51</v>
      </c>
      <c r="C26" s="1" t="s">
        <v>52</v>
      </c>
      <c r="E26" s="1"/>
      <c r="F26" s="18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38</v>
      </c>
      <c r="C27" s="1" t="s">
        <v>39</v>
      </c>
      <c r="D27" s="23">
        <v>0</v>
      </c>
      <c r="E27" s="1"/>
      <c r="F27" s="24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3356.6099999999997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4700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1343.3900000000003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/>
      <c r="J36" s="12"/>
      <c r="K36" s="1"/>
      <c r="L36" s="1"/>
      <c r="M36" s="1"/>
      <c r="N36" s="1"/>
    </row>
    <row r="37" spans="1:14">
      <c r="B37" s="1"/>
      <c r="C37" s="32">
        <f>D34/4</f>
        <v>335.84750000000008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55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90.847500000000082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1992</v>
      </c>
      <c r="H48" s="1" t="s">
        <v>112</v>
      </c>
    </row>
    <row r="49" spans="7:8">
      <c r="G49" s="1">
        <f>G48*26</f>
        <v>51792</v>
      </c>
      <c r="H49" s="1" t="s">
        <v>113</v>
      </c>
    </row>
    <row r="50" spans="7:8">
      <c r="G50" s="1">
        <f>G49/12</f>
        <v>4316</v>
      </c>
      <c r="H50" s="1" t="s">
        <v>114</v>
      </c>
    </row>
  </sheetData>
  <mergeCells count="1">
    <mergeCell ref="A1:D1"/>
  </mergeCells>
  <hyperlinks>
    <hyperlink ref="G13" r:id="rId1" xr:uid="{00000000-0004-0000-19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50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395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42433</v>
      </c>
      <c r="B3" s="7" t="s">
        <v>6</v>
      </c>
      <c r="C3" s="1" t="s">
        <v>359</v>
      </c>
      <c r="D3" s="8">
        <v>1148.6500000000001</v>
      </c>
      <c r="E3" s="9"/>
      <c r="F3" s="45" t="s">
        <v>396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42430</v>
      </c>
      <c r="B4" s="7" t="s">
        <v>6</v>
      </c>
      <c r="C4" s="1" t="s">
        <v>361</v>
      </c>
      <c r="D4" s="8">
        <v>225</v>
      </c>
      <c r="E4" s="9"/>
      <c r="F4" s="45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42433</v>
      </c>
      <c r="B5" s="7" t="s">
        <v>12</v>
      </c>
      <c r="C5" s="1" t="s">
        <v>13</v>
      </c>
      <c r="D5" s="12">
        <v>156.38</v>
      </c>
      <c r="E5" s="9"/>
      <c r="F5" s="42" t="s">
        <v>397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42433</v>
      </c>
      <c r="B6" s="7" t="s">
        <v>18</v>
      </c>
      <c r="C6" s="1" t="s">
        <v>19</v>
      </c>
      <c r="D6" s="12">
        <v>193.25</v>
      </c>
      <c r="E6" s="12"/>
      <c r="F6">
        <v>92482093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42441</v>
      </c>
      <c r="B7" s="7" t="s">
        <v>303</v>
      </c>
      <c r="C7" s="1" t="s">
        <v>304</v>
      </c>
      <c r="D7" s="12">
        <v>50</v>
      </c>
      <c r="E7" s="9"/>
      <c r="F7" s="36"/>
      <c r="G7" s="11"/>
      <c r="H7" s="11"/>
      <c r="I7" s="11"/>
      <c r="J7" s="11"/>
      <c r="K7" s="11"/>
      <c r="L7" s="11"/>
      <c r="M7" s="11"/>
      <c r="N7" s="11"/>
    </row>
    <row r="8" spans="1:14">
      <c r="A8" s="6">
        <v>42447</v>
      </c>
      <c r="B8" s="7" t="s">
        <v>155</v>
      </c>
      <c r="C8" s="1" t="s">
        <v>16</v>
      </c>
      <c r="D8" s="12">
        <v>61</v>
      </c>
      <c r="E8" s="12"/>
      <c r="F8" t="s">
        <v>398</v>
      </c>
      <c r="G8" s="11"/>
      <c r="H8" s="11"/>
      <c r="I8" s="11"/>
      <c r="J8" s="11"/>
      <c r="K8" s="11"/>
      <c r="L8" s="11"/>
      <c r="M8" s="11"/>
      <c r="N8" s="11"/>
    </row>
    <row r="9" spans="1:14">
      <c r="A9" s="6" t="s">
        <v>9</v>
      </c>
      <c r="B9" s="7" t="s">
        <v>21</v>
      </c>
      <c r="C9" s="1" t="s">
        <v>387</v>
      </c>
      <c r="D9" s="12">
        <v>0</v>
      </c>
      <c r="E9" s="9"/>
      <c r="F9" s="36"/>
      <c r="G9" s="16"/>
      <c r="H9" s="7"/>
      <c r="I9" s="7"/>
      <c r="J9" s="7"/>
      <c r="K9" s="7"/>
      <c r="L9" s="7"/>
      <c r="M9" s="7"/>
      <c r="N9" s="7"/>
    </row>
    <row r="10" spans="1:14">
      <c r="A10" s="6">
        <v>42444</v>
      </c>
      <c r="B10" s="7" t="s">
        <v>21</v>
      </c>
      <c r="C10" s="1" t="s">
        <v>23</v>
      </c>
      <c r="D10" s="12">
        <v>236</v>
      </c>
      <c r="E10" s="9"/>
      <c r="F10" s="18" t="s">
        <v>399</v>
      </c>
      <c r="G10" s="1"/>
      <c r="H10" s="1"/>
      <c r="I10" s="1"/>
      <c r="J10" s="1"/>
      <c r="K10" s="1"/>
      <c r="L10" s="1"/>
      <c r="M10" s="1"/>
      <c r="N10" s="1"/>
    </row>
    <row r="11" spans="1:14">
      <c r="A11" s="6" t="s">
        <v>9</v>
      </c>
      <c r="B11" s="7" t="s">
        <v>21</v>
      </c>
      <c r="C11" s="1" t="s">
        <v>25</v>
      </c>
      <c r="D11" s="12">
        <v>30.25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42444</v>
      </c>
      <c r="B12" s="7" t="s">
        <v>21</v>
      </c>
      <c r="C12" s="1" t="s">
        <v>209</v>
      </c>
      <c r="D12" s="12">
        <v>494.14</v>
      </c>
      <c r="E12" s="16"/>
      <c r="F12" s="19"/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42447</v>
      </c>
      <c r="B13" s="7" t="s">
        <v>105</v>
      </c>
      <c r="C13" s="1" t="s">
        <v>186</v>
      </c>
      <c r="D13" s="12">
        <v>41.11</v>
      </c>
      <c r="E13" s="12"/>
      <c r="F13" s="18" t="s">
        <v>400</v>
      </c>
      <c r="G13" s="35" t="s">
        <v>74</v>
      </c>
      <c r="H13" s="1"/>
      <c r="I13" s="1"/>
      <c r="J13" s="1"/>
      <c r="K13" s="1"/>
      <c r="L13" s="1"/>
      <c r="M13" s="1"/>
      <c r="N13" s="1"/>
    </row>
    <row r="14" spans="1:14">
      <c r="A14" s="6">
        <v>42447</v>
      </c>
      <c r="B14" s="7" t="s">
        <v>27</v>
      </c>
      <c r="C14" s="1" t="s">
        <v>28</v>
      </c>
      <c r="D14" s="12">
        <v>64.989999999999995</v>
      </c>
      <c r="E14" s="9"/>
      <c r="F14" s="44" t="s">
        <v>401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0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42447</v>
      </c>
      <c r="B16" s="7" t="s">
        <v>31</v>
      </c>
      <c r="C16" s="1" t="s">
        <v>32</v>
      </c>
      <c r="D16" s="12">
        <v>129.22</v>
      </c>
      <c r="E16" s="9"/>
      <c r="F16" s="47"/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42447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6">
        <v>42447</v>
      </c>
      <c r="B18" s="7" t="s">
        <v>367</v>
      </c>
      <c r="C18" s="1" t="s">
        <v>35</v>
      </c>
      <c r="D18" s="12">
        <v>161</v>
      </c>
      <c r="E18" s="9"/>
      <c r="F18" s="17" t="s">
        <v>402</v>
      </c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7"/>
      <c r="C19" s="1"/>
      <c r="D19" s="1"/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2" t="s">
        <v>37</v>
      </c>
      <c r="D21" s="1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1" t="s">
        <v>45</v>
      </c>
      <c r="C22" s="1" t="s">
        <v>258</v>
      </c>
      <c r="D22" s="12"/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6" t="s">
        <v>9</v>
      </c>
      <c r="B23" s="1" t="s">
        <v>45</v>
      </c>
      <c r="C23" s="1" t="s">
        <v>46</v>
      </c>
      <c r="D23" s="12">
        <v>0</v>
      </c>
      <c r="E23" s="1"/>
      <c r="F23" s="18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42430</v>
      </c>
      <c r="B24" s="1" t="s">
        <v>48</v>
      </c>
      <c r="C24" s="1" t="s">
        <v>49</v>
      </c>
      <c r="D24" s="12">
        <v>102</v>
      </c>
      <c r="E24" s="1"/>
      <c r="F24" s="45">
        <v>194760</v>
      </c>
      <c r="H24" s="1"/>
      <c r="I24" s="1"/>
      <c r="J24" s="1"/>
      <c r="K24" s="1"/>
      <c r="L24" s="1"/>
      <c r="M24" s="1"/>
      <c r="N24" s="1"/>
    </row>
    <row r="25" spans="1:14">
      <c r="A25" s="6">
        <v>42441</v>
      </c>
      <c r="B25" s="1" t="s">
        <v>27</v>
      </c>
      <c r="C25" s="1" t="s">
        <v>43</v>
      </c>
      <c r="D25" s="12"/>
      <c r="E25" s="1"/>
      <c r="F25" s="37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42444</v>
      </c>
      <c r="B26" s="1" t="s">
        <v>51</v>
      </c>
      <c r="C26" s="1" t="s">
        <v>52</v>
      </c>
      <c r="E26" s="1"/>
      <c r="F26" s="18" t="s">
        <v>403</v>
      </c>
      <c r="G26" s="1"/>
      <c r="H26" s="1"/>
      <c r="I26" s="1"/>
      <c r="J26" s="1"/>
      <c r="K26" s="1"/>
      <c r="L26" s="1"/>
      <c r="M26" s="1"/>
      <c r="N26" s="1"/>
    </row>
    <row r="27" spans="1:14">
      <c r="A27" s="6">
        <v>42444</v>
      </c>
      <c r="B27" s="1" t="s">
        <v>38</v>
      </c>
      <c r="C27" s="1" t="s">
        <v>39</v>
      </c>
      <c r="D27" s="23">
        <v>0</v>
      </c>
      <c r="E27" s="1"/>
      <c r="F27" s="24" t="s">
        <v>404</v>
      </c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3376.6499999999996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4700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1323.3500000000004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/>
      <c r="J36" s="12"/>
      <c r="K36" s="1"/>
      <c r="L36" s="1"/>
      <c r="M36" s="1"/>
      <c r="N36" s="1"/>
    </row>
    <row r="37" spans="1:14">
      <c r="B37" s="1"/>
      <c r="C37" s="32">
        <f>D34/4</f>
        <v>330.83750000000009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55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85.837500000000091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1992</v>
      </c>
      <c r="H48" s="1" t="s">
        <v>112</v>
      </c>
    </row>
    <row r="49" spans="7:8">
      <c r="G49" s="1">
        <f>G48*26</f>
        <v>51792</v>
      </c>
      <c r="H49" s="1" t="s">
        <v>113</v>
      </c>
    </row>
    <row r="50" spans="7:8">
      <c r="G50" s="1">
        <f>G49/12</f>
        <v>4316</v>
      </c>
      <c r="H50" s="1" t="s">
        <v>114</v>
      </c>
    </row>
  </sheetData>
  <mergeCells count="1">
    <mergeCell ref="A1:D1"/>
  </mergeCells>
  <hyperlinks>
    <hyperlink ref="G13" r:id="rId1" xr:uid="{00000000-0004-0000-1A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50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405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42462</v>
      </c>
      <c r="B3" s="7" t="s">
        <v>6</v>
      </c>
      <c r="C3" s="1" t="s">
        <v>359</v>
      </c>
      <c r="D3" s="8">
        <v>1148.6500000000001</v>
      </c>
      <c r="E3" s="9"/>
      <c r="F3" s="45" t="s">
        <v>406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42462</v>
      </c>
      <c r="B4" s="7" t="s">
        <v>6</v>
      </c>
      <c r="C4" s="1" t="s">
        <v>361</v>
      </c>
      <c r="D4" s="8">
        <v>225</v>
      </c>
      <c r="E4" s="9"/>
      <c r="F4" s="45" t="s">
        <v>407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42462</v>
      </c>
      <c r="B5" s="7" t="s">
        <v>12</v>
      </c>
      <c r="C5" s="1" t="s">
        <v>13</v>
      </c>
      <c r="D5" s="12">
        <v>156.38</v>
      </c>
      <c r="E5" s="9"/>
      <c r="F5" s="42" t="s">
        <v>408</v>
      </c>
      <c r="G5" s="11"/>
      <c r="H5" s="11"/>
      <c r="I5" s="11"/>
      <c r="J5" s="11"/>
      <c r="K5" s="11"/>
      <c r="L5" s="11"/>
      <c r="M5" s="11"/>
      <c r="N5" s="11"/>
    </row>
    <row r="6" spans="1:14">
      <c r="A6" s="6" t="s">
        <v>9</v>
      </c>
      <c r="B6" s="7" t="s">
        <v>18</v>
      </c>
      <c r="C6" s="1" t="s">
        <v>19</v>
      </c>
      <c r="D6" s="12">
        <v>193.25</v>
      </c>
      <c r="E6" s="12"/>
      <c r="G6" s="11"/>
      <c r="H6" s="11"/>
      <c r="I6" s="11"/>
      <c r="J6" s="11"/>
      <c r="K6" s="11"/>
      <c r="L6" s="11"/>
      <c r="M6" s="11"/>
      <c r="N6" s="11"/>
    </row>
    <row r="7" spans="1:14">
      <c r="A7" s="6">
        <v>42468</v>
      </c>
      <c r="B7" s="7" t="s">
        <v>303</v>
      </c>
      <c r="C7" s="1" t="s">
        <v>304</v>
      </c>
      <c r="D7" s="12">
        <v>50</v>
      </c>
      <c r="E7" s="9"/>
      <c r="F7" s="36" t="s">
        <v>409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155</v>
      </c>
      <c r="C8" s="1" t="s">
        <v>16</v>
      </c>
      <c r="D8" s="12">
        <v>61</v>
      </c>
      <c r="E8" s="12"/>
      <c r="G8" s="11"/>
      <c r="H8" s="11"/>
      <c r="I8" s="11"/>
      <c r="J8" s="11"/>
      <c r="K8" s="11"/>
      <c r="L8" s="11"/>
      <c r="M8" s="11"/>
      <c r="N8" s="11"/>
    </row>
    <row r="9" spans="1:14">
      <c r="A9" s="6" t="s">
        <v>9</v>
      </c>
      <c r="B9" s="7" t="s">
        <v>21</v>
      </c>
      <c r="C9" s="1" t="s">
        <v>387</v>
      </c>
      <c r="D9" s="12">
        <v>0</v>
      </c>
      <c r="E9" s="9"/>
      <c r="F9" s="36"/>
      <c r="G9" s="16"/>
      <c r="H9" s="7"/>
      <c r="I9" s="7"/>
      <c r="J9" s="7"/>
      <c r="K9" s="7"/>
      <c r="L9" s="7"/>
      <c r="M9" s="7"/>
      <c r="N9" s="7"/>
    </row>
    <row r="10" spans="1:14">
      <c r="A10" s="6">
        <v>42475</v>
      </c>
      <c r="B10" s="7" t="s">
        <v>21</v>
      </c>
      <c r="C10" s="1" t="s">
        <v>23</v>
      </c>
      <c r="D10" s="12">
        <v>236</v>
      </c>
      <c r="E10" s="9"/>
      <c r="F10" s="18" t="s">
        <v>410</v>
      </c>
      <c r="G10" s="1"/>
      <c r="H10" s="1"/>
      <c r="I10" s="1"/>
      <c r="J10" s="1"/>
      <c r="K10" s="1"/>
      <c r="L10" s="1"/>
      <c r="M10" s="1"/>
      <c r="N10" s="1"/>
    </row>
    <row r="11" spans="1:14">
      <c r="A11" s="6">
        <v>42468</v>
      </c>
      <c r="B11" s="7" t="s">
        <v>21</v>
      </c>
      <c r="C11" s="1" t="s">
        <v>25</v>
      </c>
      <c r="D11" s="12">
        <v>30.25</v>
      </c>
      <c r="E11" s="16"/>
      <c r="F11" s="19" t="s">
        <v>411</v>
      </c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42475</v>
      </c>
      <c r="B12" s="7" t="s">
        <v>21</v>
      </c>
      <c r="C12" s="1" t="s">
        <v>209</v>
      </c>
      <c r="D12" s="12">
        <v>494.14</v>
      </c>
      <c r="E12" s="16"/>
      <c r="F12" s="19"/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42468</v>
      </c>
      <c r="B13" s="7" t="s">
        <v>105</v>
      </c>
      <c r="C13" s="1" t="s">
        <v>186</v>
      </c>
      <c r="D13" s="12">
        <v>41.11</v>
      </c>
      <c r="E13" s="12"/>
      <c r="F13" s="18" t="s">
        <v>412</v>
      </c>
      <c r="G13" s="35" t="s">
        <v>74</v>
      </c>
      <c r="H13" s="1"/>
      <c r="I13" s="1"/>
      <c r="J13" s="1"/>
      <c r="K13" s="1"/>
      <c r="L13" s="1"/>
      <c r="M13" s="1"/>
      <c r="N13" s="1"/>
    </row>
    <row r="14" spans="1:14">
      <c r="A14" s="6">
        <v>42475</v>
      </c>
      <c r="B14" s="7" t="s">
        <v>27</v>
      </c>
      <c r="C14" s="1" t="s">
        <v>28</v>
      </c>
      <c r="D14" s="12">
        <v>64.989999999999995</v>
      </c>
      <c r="E14" s="9"/>
      <c r="F14" s="44" t="s">
        <v>413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0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42475</v>
      </c>
      <c r="B16" s="7" t="s">
        <v>31</v>
      </c>
      <c r="C16" s="1" t="s">
        <v>32</v>
      </c>
      <c r="D16" s="12">
        <v>129.22</v>
      </c>
      <c r="E16" s="9"/>
      <c r="F16" s="47"/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42484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6">
        <v>42484</v>
      </c>
      <c r="B18" s="7" t="s">
        <v>367</v>
      </c>
      <c r="C18" s="1" t="s">
        <v>35</v>
      </c>
      <c r="D18" s="12">
        <v>161</v>
      </c>
      <c r="E18" s="9"/>
      <c r="F18" s="17"/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7"/>
      <c r="C19" s="1"/>
      <c r="D19" s="1"/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2" t="s">
        <v>37</v>
      </c>
      <c r="D21" s="1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42468</v>
      </c>
      <c r="B22" s="1" t="s">
        <v>45</v>
      </c>
      <c r="C22" s="1" t="s">
        <v>258</v>
      </c>
      <c r="D22" s="12"/>
      <c r="E22" s="1"/>
      <c r="F22" s="18" t="s">
        <v>409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42468</v>
      </c>
      <c r="B23" s="1" t="s">
        <v>45</v>
      </c>
      <c r="C23" s="1" t="s">
        <v>46</v>
      </c>
      <c r="D23" s="12">
        <v>0</v>
      </c>
      <c r="E23" s="1"/>
      <c r="F23" s="18" t="s">
        <v>414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42475</v>
      </c>
      <c r="B24" s="1" t="s">
        <v>48</v>
      </c>
      <c r="C24" s="1" t="s">
        <v>49</v>
      </c>
      <c r="D24" s="12">
        <v>102</v>
      </c>
      <c r="E24" s="1"/>
      <c r="F24" s="45">
        <v>406885</v>
      </c>
      <c r="H24" s="1"/>
      <c r="I24" s="1"/>
      <c r="J24" s="1"/>
      <c r="K24" s="1"/>
      <c r="L24" s="1"/>
      <c r="M24" s="1"/>
      <c r="N24" s="1"/>
    </row>
    <row r="25" spans="1:14">
      <c r="A25" s="6">
        <v>42476</v>
      </c>
      <c r="B25" s="1" t="s">
        <v>27</v>
      </c>
      <c r="C25" s="1" t="s">
        <v>43</v>
      </c>
      <c r="D25" s="12"/>
      <c r="E25" s="1"/>
      <c r="F25" s="37">
        <v>245777624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51</v>
      </c>
      <c r="C26" s="1" t="s">
        <v>52</v>
      </c>
      <c r="E26" s="1"/>
      <c r="F26" s="18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38</v>
      </c>
      <c r="C27" s="1" t="s">
        <v>39</v>
      </c>
      <c r="D27" s="23">
        <v>0</v>
      </c>
      <c r="E27" s="1"/>
      <c r="F27" s="24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3376.6499999999996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4700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1323.3500000000004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/>
      <c r="J36" s="12"/>
      <c r="K36" s="1"/>
      <c r="L36" s="1"/>
      <c r="M36" s="1"/>
      <c r="N36" s="1"/>
    </row>
    <row r="37" spans="1:14">
      <c r="B37" s="1"/>
      <c r="C37" s="32">
        <f>D34/4</f>
        <v>330.83750000000009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55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85.837500000000091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1992</v>
      </c>
      <c r="H48" s="1" t="s">
        <v>112</v>
      </c>
    </row>
    <row r="49" spans="7:8">
      <c r="G49" s="1">
        <f>G48*26</f>
        <v>51792</v>
      </c>
      <c r="H49" s="1" t="s">
        <v>113</v>
      </c>
    </row>
    <row r="50" spans="7:8">
      <c r="G50" s="1">
        <f>G49/12</f>
        <v>4316</v>
      </c>
      <c r="H50" s="1" t="s">
        <v>114</v>
      </c>
    </row>
  </sheetData>
  <mergeCells count="1">
    <mergeCell ref="A1:D1"/>
  </mergeCells>
  <hyperlinks>
    <hyperlink ref="G13" r:id="rId1" xr:uid="{00000000-0004-0000-1B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415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42490</v>
      </c>
      <c r="B3" s="7" t="s">
        <v>6</v>
      </c>
      <c r="C3" s="1" t="s">
        <v>359</v>
      </c>
      <c r="D3" s="8">
        <v>1148.6500000000001</v>
      </c>
      <c r="E3" s="9"/>
      <c r="F3" s="45" t="s">
        <v>416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42490</v>
      </c>
      <c r="B4" s="7" t="s">
        <v>12</v>
      </c>
      <c r="C4" s="1" t="s">
        <v>13</v>
      </c>
      <c r="D4" s="12">
        <v>156.38</v>
      </c>
      <c r="E4" s="9"/>
      <c r="F4" s="42" t="s">
        <v>417</v>
      </c>
      <c r="G4" s="11"/>
      <c r="H4" s="11"/>
      <c r="I4" s="11"/>
      <c r="J4" s="11"/>
      <c r="K4" s="11"/>
      <c r="L4" s="11"/>
      <c r="M4" s="11"/>
      <c r="N4" s="11"/>
    </row>
    <row r="5" spans="1:14">
      <c r="A5" s="6" t="s">
        <v>9</v>
      </c>
      <c r="B5" s="7" t="s">
        <v>18</v>
      </c>
      <c r="C5" s="1" t="s">
        <v>19</v>
      </c>
      <c r="D5" s="12">
        <v>193.25</v>
      </c>
      <c r="E5" s="12"/>
      <c r="G5" s="11"/>
      <c r="H5" s="11"/>
      <c r="I5" s="11"/>
      <c r="J5" s="11"/>
      <c r="K5" s="11"/>
      <c r="L5" s="11"/>
      <c r="M5" s="11"/>
      <c r="N5" s="11"/>
    </row>
    <row r="6" spans="1:14">
      <c r="A6" s="6">
        <v>42502</v>
      </c>
      <c r="B6" s="7" t="s">
        <v>303</v>
      </c>
      <c r="C6" s="1" t="s">
        <v>304</v>
      </c>
      <c r="D6" s="12">
        <v>50</v>
      </c>
      <c r="E6" s="9"/>
      <c r="F6" s="36" t="s">
        <v>418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42505</v>
      </c>
      <c r="B7" s="7" t="s">
        <v>155</v>
      </c>
      <c r="C7" s="1" t="s">
        <v>16</v>
      </c>
      <c r="D7" s="12">
        <v>61</v>
      </c>
      <c r="E7" s="12"/>
      <c r="F7" t="s">
        <v>419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387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42505</v>
      </c>
      <c r="B9" s="7" t="s">
        <v>21</v>
      </c>
      <c r="C9" s="1" t="s">
        <v>23</v>
      </c>
      <c r="D9" s="12">
        <v>236</v>
      </c>
      <c r="E9" s="9"/>
      <c r="F9" s="18" t="s">
        <v>420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42505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42505</v>
      </c>
      <c r="B12" s="7" t="s">
        <v>105</v>
      </c>
      <c r="C12" s="1" t="s">
        <v>186</v>
      </c>
      <c r="D12" s="12">
        <v>53.1</v>
      </c>
      <c r="E12" s="12"/>
      <c r="F12" s="18" t="s">
        <v>421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42505</v>
      </c>
      <c r="B13" s="7" t="s">
        <v>27</v>
      </c>
      <c r="C13" s="1" t="s">
        <v>28</v>
      </c>
      <c r="D13" s="12">
        <v>64.989999999999995</v>
      </c>
      <c r="E13" s="9"/>
      <c r="F13" s="44" t="s">
        <v>422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333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42510</v>
      </c>
      <c r="B15" s="7" t="s">
        <v>31</v>
      </c>
      <c r="C15" s="1" t="s">
        <v>32</v>
      </c>
      <c r="D15" s="12">
        <v>129.22</v>
      </c>
      <c r="E15" s="9"/>
      <c r="F15" s="47"/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42516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6">
        <v>42519</v>
      </c>
      <c r="B17" s="7" t="s">
        <v>367</v>
      </c>
      <c r="C17" s="1" t="s">
        <v>35</v>
      </c>
      <c r="D17" s="12">
        <v>161</v>
      </c>
      <c r="E17" s="9"/>
      <c r="F17" s="17" t="s">
        <v>423</v>
      </c>
      <c r="G17" s="7"/>
      <c r="H17" s="7"/>
      <c r="I17" s="7"/>
      <c r="J17" s="7"/>
      <c r="K17" s="7"/>
      <c r="L17" s="7"/>
      <c r="M17" s="7"/>
      <c r="N17" s="7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9</v>
      </c>
      <c r="B21" s="1" t="s">
        <v>45</v>
      </c>
      <c r="C21" s="1" t="s">
        <v>258</v>
      </c>
      <c r="D21" s="12">
        <v>0</v>
      </c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42490</v>
      </c>
      <c r="B22" s="1" t="s">
        <v>45</v>
      </c>
      <c r="C22" s="1" t="s">
        <v>46</v>
      </c>
      <c r="D22" s="12">
        <v>0</v>
      </c>
      <c r="E22" s="1"/>
      <c r="F22" s="18" t="s">
        <v>424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42505</v>
      </c>
      <c r="B23" s="1" t="s">
        <v>48</v>
      </c>
      <c r="C23" s="1" t="s">
        <v>49</v>
      </c>
      <c r="D23" s="12">
        <v>308</v>
      </c>
      <c r="E23" s="1"/>
      <c r="F23" s="45">
        <v>377441</v>
      </c>
      <c r="H23" s="1"/>
      <c r="I23" s="1"/>
      <c r="J23" s="1"/>
      <c r="K23" s="1"/>
      <c r="L23" s="1"/>
      <c r="M23" s="1"/>
      <c r="N23" s="1"/>
    </row>
    <row r="24" spans="1:14">
      <c r="A24" s="6">
        <v>42505</v>
      </c>
      <c r="B24" s="1" t="s">
        <v>27</v>
      </c>
      <c r="C24" s="1" t="s">
        <v>43</v>
      </c>
      <c r="D24" s="12">
        <v>50</v>
      </c>
      <c r="E24" s="1"/>
      <c r="F24" s="37">
        <v>248951008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3419.6399999999994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4821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1401.3600000000006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350.34000000000015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55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105.34000000000015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C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425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42519</v>
      </c>
      <c r="B3" s="7" t="s">
        <v>6</v>
      </c>
      <c r="C3" s="1" t="s">
        <v>359</v>
      </c>
      <c r="D3" s="8">
        <v>1148.6500000000001</v>
      </c>
      <c r="E3" s="9"/>
      <c r="F3" s="45" t="s">
        <v>426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42524</v>
      </c>
      <c r="B4" s="7" t="s">
        <v>12</v>
      </c>
      <c r="C4" s="1" t="s">
        <v>13</v>
      </c>
      <c r="D4" s="12">
        <v>156.38</v>
      </c>
      <c r="E4" s="9"/>
      <c r="F4" s="42" t="s">
        <v>427</v>
      </c>
      <c r="G4" s="11"/>
      <c r="H4" s="11"/>
      <c r="I4" s="11"/>
      <c r="J4" s="11"/>
      <c r="K4" s="11"/>
      <c r="L4" s="11"/>
      <c r="M4" s="11"/>
      <c r="N4" s="11"/>
    </row>
    <row r="5" spans="1:14">
      <c r="A5" s="6" t="s">
        <v>9</v>
      </c>
      <c r="B5" s="7" t="s">
        <v>18</v>
      </c>
      <c r="C5" s="1" t="s">
        <v>19</v>
      </c>
      <c r="D5" s="12">
        <v>193.25</v>
      </c>
      <c r="E5" s="12"/>
      <c r="G5" s="11"/>
      <c r="H5" s="11"/>
      <c r="I5" s="11"/>
      <c r="J5" s="11"/>
      <c r="K5" s="11"/>
      <c r="L5" s="11"/>
      <c r="M5" s="11"/>
      <c r="N5" s="11"/>
    </row>
    <row r="6" spans="1:14">
      <c r="A6" s="6">
        <v>42531</v>
      </c>
      <c r="B6" s="7" t="s">
        <v>303</v>
      </c>
      <c r="C6" s="1" t="s">
        <v>304</v>
      </c>
      <c r="D6" s="12">
        <v>50</v>
      </c>
      <c r="E6" s="9"/>
      <c r="F6" s="36" t="s">
        <v>428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42531</v>
      </c>
      <c r="B7" s="7" t="s">
        <v>155</v>
      </c>
      <c r="C7" s="1" t="s">
        <v>16</v>
      </c>
      <c r="D7" s="12">
        <v>61</v>
      </c>
      <c r="E7" s="12"/>
      <c r="F7" t="s">
        <v>429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387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42531</v>
      </c>
      <c r="B9" s="7" t="s">
        <v>21</v>
      </c>
      <c r="C9" s="1" t="s">
        <v>23</v>
      </c>
      <c r="D9" s="12">
        <v>236</v>
      </c>
      <c r="E9" s="9"/>
      <c r="F9" s="18" t="s">
        <v>430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42531</v>
      </c>
      <c r="B10" s="7" t="s">
        <v>21</v>
      </c>
      <c r="C10" s="1" t="s">
        <v>25</v>
      </c>
      <c r="D10" s="12">
        <v>30.25</v>
      </c>
      <c r="E10" s="16"/>
      <c r="F10" s="18" t="s">
        <v>431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42531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42531</v>
      </c>
      <c r="B12" s="7" t="s">
        <v>105</v>
      </c>
      <c r="C12" s="1" t="s">
        <v>186</v>
      </c>
      <c r="D12" s="12">
        <v>53.1</v>
      </c>
      <c r="E12" s="12"/>
      <c r="F12" s="18" t="s">
        <v>432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42531</v>
      </c>
      <c r="B13" s="7" t="s">
        <v>27</v>
      </c>
      <c r="C13" s="1" t="s">
        <v>28</v>
      </c>
      <c r="D13" s="12">
        <v>64.989999999999995</v>
      </c>
      <c r="E13" s="9"/>
      <c r="F13" s="44" t="s">
        <v>433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333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42541</v>
      </c>
      <c r="B15" s="7" t="s">
        <v>31</v>
      </c>
      <c r="C15" s="1" t="s">
        <v>32</v>
      </c>
      <c r="D15" s="12">
        <v>131.29</v>
      </c>
      <c r="E15" s="9"/>
      <c r="F15" s="47"/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42547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6" t="s">
        <v>9</v>
      </c>
      <c r="B17" s="7" t="s">
        <v>367</v>
      </c>
      <c r="C17" s="1" t="s">
        <v>35</v>
      </c>
      <c r="D17" s="12">
        <v>161</v>
      </c>
      <c r="E17" s="9"/>
      <c r="F17" s="17"/>
      <c r="G17" s="7"/>
      <c r="H17" s="7"/>
      <c r="I17" s="7"/>
      <c r="J17" s="7"/>
      <c r="K17" s="7"/>
      <c r="L17" s="7"/>
      <c r="M17" s="7"/>
      <c r="N17" s="7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9</v>
      </c>
      <c r="B21" s="1" t="s">
        <v>45</v>
      </c>
      <c r="C21" s="1" t="s">
        <v>258</v>
      </c>
      <c r="D21" s="12">
        <v>0</v>
      </c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42528</v>
      </c>
      <c r="B22" s="1" t="s">
        <v>45</v>
      </c>
      <c r="C22" s="1" t="s">
        <v>46</v>
      </c>
      <c r="D22" s="12">
        <v>0</v>
      </c>
      <c r="E22" s="1"/>
      <c r="F22" s="18" t="s">
        <v>434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42531</v>
      </c>
      <c r="B23" s="1" t="s">
        <v>48</v>
      </c>
      <c r="C23" s="1" t="s">
        <v>49</v>
      </c>
      <c r="D23" s="12">
        <v>308</v>
      </c>
      <c r="E23" s="1"/>
      <c r="F23" s="45">
        <v>303282</v>
      </c>
      <c r="H23" s="1"/>
      <c r="I23" s="1"/>
      <c r="J23" s="1"/>
      <c r="K23" s="1"/>
      <c r="L23" s="1"/>
      <c r="M23" s="1"/>
      <c r="N23" s="1"/>
    </row>
    <row r="24" spans="1:14">
      <c r="A24" s="6">
        <v>42531</v>
      </c>
      <c r="B24" s="1" t="s">
        <v>27</v>
      </c>
      <c r="C24" s="1" t="s">
        <v>43</v>
      </c>
      <c r="D24" s="12">
        <v>50</v>
      </c>
      <c r="E24" s="1"/>
      <c r="F24" s="37">
        <v>251546004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3421.7099999999996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4821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1399.2900000000004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349.8225000000001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55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104.8225000000001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D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49"/>
  <sheetViews>
    <sheetView topLeftCell="A7"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435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42552</v>
      </c>
      <c r="B3" s="7" t="s">
        <v>6</v>
      </c>
      <c r="C3" s="1" t="s">
        <v>359</v>
      </c>
      <c r="D3" s="8">
        <v>1148.6500000000001</v>
      </c>
      <c r="E3" s="9"/>
      <c r="F3" s="45" t="s">
        <v>436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42552</v>
      </c>
      <c r="B4" s="7" t="s">
        <v>12</v>
      </c>
      <c r="C4" s="1" t="s">
        <v>13</v>
      </c>
      <c r="D4" s="12">
        <v>156.38</v>
      </c>
      <c r="E4" s="9"/>
      <c r="F4" s="42" t="s">
        <v>437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42552</v>
      </c>
      <c r="B5" s="7" t="s">
        <v>18</v>
      </c>
      <c r="C5" s="1" t="s">
        <v>19</v>
      </c>
      <c r="D5" s="12">
        <v>110.52</v>
      </c>
      <c r="E5" s="12"/>
      <c r="F5">
        <v>97608812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42559</v>
      </c>
      <c r="B6" s="7" t="s">
        <v>303</v>
      </c>
      <c r="C6" s="1" t="s">
        <v>304</v>
      </c>
      <c r="D6" s="12">
        <v>50</v>
      </c>
      <c r="E6" s="9"/>
      <c r="F6" s="36" t="s">
        <v>438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42559</v>
      </c>
      <c r="B7" s="7" t="s">
        <v>155</v>
      </c>
      <c r="C7" s="1" t="s">
        <v>16</v>
      </c>
      <c r="D7" s="12">
        <v>61</v>
      </c>
      <c r="E7" s="12"/>
      <c r="F7" t="s">
        <v>439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387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42559</v>
      </c>
      <c r="B9" s="7" t="s">
        <v>21</v>
      </c>
      <c r="C9" s="1" t="s">
        <v>23</v>
      </c>
      <c r="D9" s="12">
        <v>236</v>
      </c>
      <c r="E9" s="9"/>
      <c r="F9" s="18" t="s">
        <v>440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18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42559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42559</v>
      </c>
      <c r="B12" s="7" t="s">
        <v>105</v>
      </c>
      <c r="C12" s="1" t="s">
        <v>186</v>
      </c>
      <c r="D12" s="12">
        <v>53.1</v>
      </c>
      <c r="E12" s="12"/>
      <c r="F12" s="18" t="s">
        <v>441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42559</v>
      </c>
      <c r="B13" s="7" t="s">
        <v>27</v>
      </c>
      <c r="C13" s="1" t="s">
        <v>28</v>
      </c>
      <c r="D13" s="12">
        <v>64.989999999999995</v>
      </c>
      <c r="E13" s="9"/>
      <c r="F13" s="44" t="s">
        <v>442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333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42572</v>
      </c>
      <c r="B15" s="7" t="s">
        <v>31</v>
      </c>
      <c r="C15" s="1" t="s">
        <v>32</v>
      </c>
      <c r="D15" s="12">
        <v>131.29</v>
      </c>
      <c r="E15" s="9"/>
      <c r="F15" s="47"/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42577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6" t="s">
        <v>9</v>
      </c>
      <c r="B17" s="7" t="s">
        <v>367</v>
      </c>
      <c r="C17" s="1" t="s">
        <v>35</v>
      </c>
      <c r="D17" s="12">
        <v>161</v>
      </c>
      <c r="E17" s="9"/>
      <c r="F17" s="17"/>
      <c r="G17" s="7"/>
      <c r="H17" s="7"/>
      <c r="I17" s="7"/>
      <c r="J17" s="7"/>
      <c r="K17" s="7"/>
      <c r="L17" s="7"/>
      <c r="M17" s="7"/>
      <c r="N17" s="7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9</v>
      </c>
      <c r="B21" s="1" t="s">
        <v>45</v>
      </c>
      <c r="C21" s="1" t="s">
        <v>258</v>
      </c>
      <c r="D21" s="12">
        <v>0</v>
      </c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42559</v>
      </c>
      <c r="B22" s="1" t="s">
        <v>45</v>
      </c>
      <c r="C22" s="1" t="s">
        <v>46</v>
      </c>
      <c r="D22" s="12">
        <v>0</v>
      </c>
      <c r="E22" s="1"/>
      <c r="F22" s="18" t="s">
        <v>443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42559</v>
      </c>
      <c r="B23" s="1" t="s">
        <v>48</v>
      </c>
      <c r="C23" s="1" t="s">
        <v>49</v>
      </c>
      <c r="D23" s="12">
        <v>308</v>
      </c>
      <c r="E23" s="1"/>
      <c r="F23" s="45">
        <v>57808</v>
      </c>
      <c r="H23" s="1"/>
      <c r="I23" s="1"/>
      <c r="J23" s="1"/>
      <c r="K23" s="1"/>
      <c r="L23" s="1"/>
      <c r="M23" s="1"/>
      <c r="N23" s="1"/>
    </row>
    <row r="24" spans="1:14">
      <c r="A24" s="6">
        <v>42559</v>
      </c>
      <c r="B24" s="1" t="s">
        <v>27</v>
      </c>
      <c r="C24" s="1" t="s">
        <v>43</v>
      </c>
      <c r="D24" s="12">
        <v>50</v>
      </c>
      <c r="E24" s="1"/>
      <c r="F24" s="37">
        <v>254381780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3338.9799999999996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4821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1482.0200000000004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370.50500000000011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55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125.50500000000011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E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49"/>
  <sheetViews>
    <sheetView topLeftCell="A7"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444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42587</v>
      </c>
      <c r="B3" s="7" t="s">
        <v>6</v>
      </c>
      <c r="C3" s="1" t="s">
        <v>359</v>
      </c>
      <c r="D3" s="8">
        <v>1148.6500000000001</v>
      </c>
      <c r="E3" s="9"/>
      <c r="F3" s="45" t="s">
        <v>445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42585</v>
      </c>
      <c r="B4" s="7" t="s">
        <v>12</v>
      </c>
      <c r="C4" s="1" t="s">
        <v>13</v>
      </c>
      <c r="D4" s="12">
        <v>156.38</v>
      </c>
      <c r="E4" s="9"/>
      <c r="F4" s="42" t="s">
        <v>446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42588</v>
      </c>
      <c r="B5" s="7" t="s">
        <v>18</v>
      </c>
      <c r="C5" s="1" t="s">
        <v>19</v>
      </c>
      <c r="D5" s="12">
        <v>110.52</v>
      </c>
      <c r="E5" s="12"/>
      <c r="G5" s="11"/>
      <c r="H5" s="11"/>
      <c r="I5" s="11"/>
      <c r="J5" s="11"/>
      <c r="K5" s="11"/>
      <c r="L5" s="11"/>
      <c r="M5" s="11"/>
      <c r="N5" s="11"/>
    </row>
    <row r="6" spans="1:14">
      <c r="A6" s="6">
        <v>42595</v>
      </c>
      <c r="B6" s="7" t="s">
        <v>303</v>
      </c>
      <c r="C6" s="1" t="s">
        <v>304</v>
      </c>
      <c r="D6" s="12">
        <v>50</v>
      </c>
      <c r="E6" s="9"/>
      <c r="F6" s="36" t="s">
        <v>447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42595</v>
      </c>
      <c r="B7" s="7" t="s">
        <v>155</v>
      </c>
      <c r="C7" s="1" t="s">
        <v>16</v>
      </c>
      <c r="D7" s="12">
        <v>61</v>
      </c>
      <c r="E7" s="12"/>
      <c r="F7" t="s">
        <v>448</v>
      </c>
      <c r="G7" s="11"/>
      <c r="H7" s="11"/>
      <c r="I7" s="11"/>
      <c r="J7" s="11"/>
      <c r="K7" s="11"/>
      <c r="L7" s="11"/>
      <c r="M7" s="11"/>
      <c r="N7" s="11"/>
    </row>
    <row r="8" spans="1:14">
      <c r="A8" s="6">
        <v>42603</v>
      </c>
      <c r="B8" s="7" t="s">
        <v>21</v>
      </c>
      <c r="C8" s="1" t="s">
        <v>387</v>
      </c>
      <c r="D8" s="12">
        <v>0</v>
      </c>
      <c r="E8" s="9"/>
      <c r="F8" s="36">
        <v>3394432</v>
      </c>
      <c r="G8" s="16"/>
      <c r="H8" s="7"/>
      <c r="I8" s="7"/>
      <c r="J8" s="7"/>
      <c r="K8" s="7"/>
      <c r="L8" s="7"/>
      <c r="M8" s="7"/>
      <c r="N8" s="7"/>
    </row>
    <row r="9" spans="1:14">
      <c r="A9" s="6">
        <v>42595</v>
      </c>
      <c r="B9" s="7" t="s">
        <v>21</v>
      </c>
      <c r="C9" s="1" t="s">
        <v>23</v>
      </c>
      <c r="D9" s="12">
        <v>236</v>
      </c>
      <c r="E9" s="9"/>
      <c r="F9" s="18" t="s">
        <v>449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42595</v>
      </c>
      <c r="B10" s="7" t="s">
        <v>21</v>
      </c>
      <c r="C10" s="1" t="s">
        <v>25</v>
      </c>
      <c r="D10" s="12">
        <v>30.25</v>
      </c>
      <c r="E10" s="16"/>
      <c r="F10" s="18" t="s">
        <v>450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42595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42602</v>
      </c>
      <c r="B12" s="7" t="s">
        <v>105</v>
      </c>
      <c r="C12" s="1" t="s">
        <v>186</v>
      </c>
      <c r="D12" s="12">
        <v>53.1</v>
      </c>
      <c r="E12" s="12"/>
      <c r="F12" s="18" t="s">
        <v>451</v>
      </c>
      <c r="G12" s="35" t="s">
        <v>74</v>
      </c>
      <c r="H12" s="1"/>
      <c r="I12" s="1"/>
      <c r="J12" s="1"/>
      <c r="K12" s="1"/>
      <c r="L12" s="1"/>
      <c r="M12" s="1"/>
      <c r="N12" s="1"/>
    </row>
    <row r="13" spans="1:14">
      <c r="A13" s="6">
        <v>42601</v>
      </c>
      <c r="B13" s="7" t="s">
        <v>27</v>
      </c>
      <c r="C13" s="1" t="s">
        <v>28</v>
      </c>
      <c r="D13" s="12">
        <v>64.989999999999995</v>
      </c>
      <c r="E13" s="9"/>
      <c r="F13" s="44" t="s">
        <v>452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333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42603</v>
      </c>
      <c r="B15" s="7" t="s">
        <v>31</v>
      </c>
      <c r="C15" s="1" t="s">
        <v>32</v>
      </c>
      <c r="D15" s="12">
        <v>131.29</v>
      </c>
      <c r="E15" s="9"/>
      <c r="F15" s="47"/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42603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6">
        <v>42603</v>
      </c>
      <c r="B17" s="7" t="s">
        <v>367</v>
      </c>
      <c r="C17" s="1" t="s">
        <v>35</v>
      </c>
      <c r="D17" s="12">
        <v>161</v>
      </c>
      <c r="E17" s="9"/>
      <c r="F17" s="17" t="s">
        <v>453</v>
      </c>
      <c r="G17" s="7"/>
      <c r="H17" s="7"/>
      <c r="I17" s="7"/>
      <c r="J17" s="7"/>
      <c r="K17" s="7"/>
      <c r="L17" s="7"/>
      <c r="M17" s="7"/>
      <c r="N17" s="7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9</v>
      </c>
      <c r="B21" s="1" t="s">
        <v>45</v>
      </c>
      <c r="C21" s="1" t="s">
        <v>258</v>
      </c>
      <c r="D21" s="12">
        <v>0</v>
      </c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1" t="s">
        <v>45</v>
      </c>
      <c r="C22" s="1" t="s">
        <v>46</v>
      </c>
      <c r="D22" s="12">
        <v>0</v>
      </c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42595</v>
      </c>
      <c r="B23" s="1" t="s">
        <v>48</v>
      </c>
      <c r="C23" s="1" t="s">
        <v>49</v>
      </c>
      <c r="D23" s="12">
        <v>308</v>
      </c>
      <c r="E23" s="1"/>
      <c r="F23" s="45">
        <v>38791</v>
      </c>
      <c r="H23" s="1"/>
      <c r="I23" s="1"/>
      <c r="J23" s="1"/>
      <c r="K23" s="1"/>
      <c r="L23" s="1"/>
      <c r="M23" s="1"/>
      <c r="N23" s="1"/>
    </row>
    <row r="24" spans="1:14">
      <c r="A24" s="6">
        <v>42595</v>
      </c>
      <c r="B24" s="1" t="s">
        <v>27</v>
      </c>
      <c r="C24" s="1" t="s">
        <v>43</v>
      </c>
      <c r="D24" s="12">
        <v>50</v>
      </c>
      <c r="E24" s="1"/>
      <c r="F24" s="37">
        <v>257959551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s="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3338.9799999999996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4655.04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1316.0600000000004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329.0150000000001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150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55</v>
      </c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84.0150000000001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F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51"/>
  <sheetViews>
    <sheetView topLeftCell="A10"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454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42617</v>
      </c>
      <c r="B3" s="7" t="s">
        <v>6</v>
      </c>
      <c r="C3" s="1" t="s">
        <v>359</v>
      </c>
      <c r="D3" s="8">
        <v>1148.6500000000001</v>
      </c>
      <c r="E3" s="9"/>
      <c r="F3" s="45" t="s">
        <v>455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42614</v>
      </c>
      <c r="B4" s="7" t="s">
        <v>6</v>
      </c>
      <c r="C4" s="1" t="s">
        <v>456</v>
      </c>
      <c r="D4" s="8">
        <v>144</v>
      </c>
      <c r="E4" s="9"/>
      <c r="F4" s="45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42617</v>
      </c>
      <c r="B5" s="7" t="s">
        <v>12</v>
      </c>
      <c r="C5" s="1" t="s">
        <v>13</v>
      </c>
      <c r="D5" s="12">
        <v>156.38</v>
      </c>
      <c r="E5" s="9"/>
      <c r="F5" s="42" t="s">
        <v>457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42617</v>
      </c>
      <c r="B6" s="7" t="s">
        <v>18</v>
      </c>
      <c r="C6" s="1" t="s">
        <v>19</v>
      </c>
      <c r="D6" s="12">
        <v>110.52</v>
      </c>
      <c r="E6" s="12"/>
      <c r="G6" s="11"/>
      <c r="H6" s="11"/>
      <c r="I6" s="11"/>
      <c r="J6" s="11"/>
      <c r="K6" s="11"/>
      <c r="L6" s="11"/>
      <c r="M6" s="11"/>
      <c r="N6" s="11"/>
    </row>
    <row r="7" spans="1:14">
      <c r="A7" s="6">
        <v>42617</v>
      </c>
      <c r="B7" s="7" t="s">
        <v>303</v>
      </c>
      <c r="C7" s="1" t="s">
        <v>304</v>
      </c>
      <c r="D7" s="12">
        <v>50</v>
      </c>
      <c r="E7" s="9"/>
      <c r="F7" s="36" t="s">
        <v>458</v>
      </c>
      <c r="G7" s="11"/>
      <c r="H7" s="11"/>
      <c r="I7" s="11"/>
      <c r="J7" s="11"/>
      <c r="K7" s="11"/>
      <c r="L7" s="11"/>
      <c r="M7" s="11"/>
      <c r="N7" s="11"/>
    </row>
    <row r="8" spans="1:14">
      <c r="A8" s="6">
        <v>42623</v>
      </c>
      <c r="B8" s="7" t="s">
        <v>155</v>
      </c>
      <c r="C8" s="1" t="s">
        <v>16</v>
      </c>
      <c r="D8" s="12">
        <v>61</v>
      </c>
      <c r="E8" s="12"/>
      <c r="G8" s="11"/>
      <c r="H8" s="11"/>
      <c r="I8" s="11"/>
      <c r="J8" s="11"/>
      <c r="K8" s="11"/>
      <c r="L8" s="11"/>
      <c r="M8" s="11"/>
      <c r="N8" s="11"/>
    </row>
    <row r="9" spans="1:14">
      <c r="A9" s="6" t="s">
        <v>9</v>
      </c>
      <c r="B9" s="7" t="s">
        <v>21</v>
      </c>
      <c r="C9" s="1" t="s">
        <v>387</v>
      </c>
      <c r="D9" s="12">
        <v>0</v>
      </c>
      <c r="E9" s="9"/>
      <c r="F9" s="36"/>
      <c r="G9" s="16"/>
      <c r="H9" s="7"/>
      <c r="I9" s="7"/>
      <c r="J9" s="7"/>
      <c r="K9" s="7"/>
      <c r="L9" s="7"/>
      <c r="M9" s="7"/>
      <c r="N9" s="7"/>
    </row>
    <row r="10" spans="1:14">
      <c r="A10" s="6">
        <v>42629</v>
      </c>
      <c r="B10" s="7" t="s">
        <v>21</v>
      </c>
      <c r="C10" s="1" t="s">
        <v>23</v>
      </c>
      <c r="D10" s="12">
        <v>236</v>
      </c>
      <c r="E10" s="9"/>
      <c r="F10" s="18" t="s">
        <v>459</v>
      </c>
      <c r="G10" s="1"/>
      <c r="H10" s="1"/>
      <c r="I10" s="1"/>
      <c r="J10" s="1"/>
      <c r="K10" s="1"/>
      <c r="L10" s="1"/>
      <c r="M10" s="1"/>
      <c r="N10" s="1"/>
    </row>
    <row r="11" spans="1:14">
      <c r="A11" s="6" t="s">
        <v>9</v>
      </c>
      <c r="B11" s="7" t="s">
        <v>21</v>
      </c>
      <c r="C11" s="1" t="s">
        <v>25</v>
      </c>
      <c r="D11" s="12">
        <v>30.25</v>
      </c>
      <c r="E11" s="16"/>
      <c r="F11" s="18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42623</v>
      </c>
      <c r="B12" s="7" t="s">
        <v>21</v>
      </c>
      <c r="C12" s="1" t="s">
        <v>209</v>
      </c>
      <c r="D12" s="12">
        <v>494.14</v>
      </c>
      <c r="E12" s="16"/>
      <c r="F12" s="19"/>
      <c r="G12" s="11"/>
      <c r="H12" s="11"/>
      <c r="I12" s="11"/>
      <c r="J12" s="11"/>
      <c r="K12" s="11"/>
      <c r="L12" s="11"/>
      <c r="M12" s="11"/>
      <c r="N12" s="11"/>
    </row>
    <row r="13" spans="1:14">
      <c r="A13" s="6" t="s">
        <v>9</v>
      </c>
      <c r="B13" s="7" t="s">
        <v>21</v>
      </c>
      <c r="C13" s="1" t="s">
        <v>460</v>
      </c>
      <c r="D13" s="12">
        <v>297</v>
      </c>
      <c r="E13" s="16"/>
      <c r="F13" s="19"/>
      <c r="G13" s="11"/>
      <c r="H13" s="11"/>
      <c r="I13" s="11"/>
      <c r="J13" s="11"/>
      <c r="K13" s="11"/>
      <c r="L13" s="11"/>
      <c r="M13" s="11"/>
      <c r="N13" s="11"/>
    </row>
    <row r="14" spans="1:14">
      <c r="A14" s="6">
        <v>42632</v>
      </c>
      <c r="B14" s="7" t="s">
        <v>105</v>
      </c>
      <c r="C14" s="1" t="s">
        <v>186</v>
      </c>
      <c r="D14" s="12">
        <v>53.1</v>
      </c>
      <c r="E14" s="12"/>
      <c r="F14" s="18" t="s">
        <v>461</v>
      </c>
      <c r="G14" s="35" t="s">
        <v>74</v>
      </c>
      <c r="H14" s="1"/>
      <c r="I14" s="1"/>
      <c r="J14" s="1"/>
      <c r="K14" s="1"/>
      <c r="L14" s="1"/>
      <c r="M14" s="1"/>
      <c r="N14" s="1"/>
    </row>
    <row r="15" spans="1:14">
      <c r="A15" s="6">
        <v>42630</v>
      </c>
      <c r="B15" s="7" t="s">
        <v>27</v>
      </c>
      <c r="C15" s="1" t="s">
        <v>28</v>
      </c>
      <c r="D15" s="12">
        <v>64.989999999999995</v>
      </c>
      <c r="E15" s="9"/>
      <c r="F15" s="44" t="s">
        <v>462</v>
      </c>
      <c r="G15" s="11"/>
      <c r="H15" s="11"/>
      <c r="I15" s="11"/>
      <c r="J15" s="11"/>
      <c r="K15" s="11"/>
      <c r="L15" s="11"/>
      <c r="M15" s="11"/>
      <c r="N15" s="11"/>
    </row>
    <row r="16" spans="1:14">
      <c r="A16" s="6" t="s">
        <v>9</v>
      </c>
      <c r="B16" s="7" t="s">
        <v>27</v>
      </c>
      <c r="C16" s="1" t="s">
        <v>333</v>
      </c>
      <c r="D16" s="12">
        <v>0</v>
      </c>
      <c r="E16" s="9"/>
      <c r="F16" s="10"/>
      <c r="G16" s="20"/>
      <c r="H16" s="11"/>
      <c r="I16" s="11"/>
      <c r="J16" s="11"/>
      <c r="K16" s="11"/>
      <c r="L16" s="11"/>
      <c r="M16" s="11"/>
      <c r="N16" s="11"/>
    </row>
    <row r="17" spans="1:14">
      <c r="A17" s="6">
        <v>42630</v>
      </c>
      <c r="B17" s="7" t="s">
        <v>31</v>
      </c>
      <c r="C17" s="1" t="s">
        <v>32</v>
      </c>
      <c r="D17" s="12">
        <v>131.29</v>
      </c>
      <c r="E17" s="9"/>
      <c r="F17" s="47"/>
      <c r="G17" s="7"/>
      <c r="H17" s="7"/>
      <c r="I17" s="7"/>
      <c r="J17" s="7"/>
      <c r="K17" s="7"/>
      <c r="L17" s="7"/>
      <c r="M17" s="7"/>
      <c r="N17" s="7"/>
    </row>
    <row r="18" spans="1:14">
      <c r="A18" s="6">
        <v>42630</v>
      </c>
      <c r="B18" s="7" t="s">
        <v>211</v>
      </c>
      <c r="C18" s="1" t="s">
        <v>212</v>
      </c>
      <c r="D18" s="12">
        <v>283.66000000000003</v>
      </c>
      <c r="E18" s="12"/>
      <c r="F18" s="21"/>
      <c r="G18" s="11"/>
      <c r="H18" s="11"/>
      <c r="I18" s="11"/>
      <c r="J18" s="11"/>
      <c r="K18" s="11"/>
      <c r="L18" s="11"/>
      <c r="M18" s="11"/>
      <c r="N18" s="11"/>
    </row>
    <row r="19" spans="1:14">
      <c r="A19" s="6">
        <v>42643</v>
      </c>
      <c r="B19" s="7" t="s">
        <v>367</v>
      </c>
      <c r="C19" s="1" t="s">
        <v>35</v>
      </c>
      <c r="D19" s="12">
        <v>161</v>
      </c>
      <c r="E19" s="9"/>
      <c r="F19" s="17" t="s">
        <v>463</v>
      </c>
      <c r="G19" s="7"/>
      <c r="H19" s="7"/>
      <c r="I19" s="7"/>
      <c r="J19" s="7"/>
      <c r="K19" s="7"/>
      <c r="L19" s="7"/>
      <c r="M19" s="7"/>
      <c r="N19" s="7"/>
    </row>
    <row r="20" spans="1:14">
      <c r="A20" s="1"/>
      <c r="B20" s="7"/>
      <c r="C20" s="1"/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2">
        <v>0</v>
      </c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22" t="s">
        <v>37</v>
      </c>
      <c r="D22" s="1"/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6" t="s">
        <v>9</v>
      </c>
      <c r="B23" s="1" t="s">
        <v>45</v>
      </c>
      <c r="C23" s="1" t="s">
        <v>258</v>
      </c>
      <c r="D23" s="12">
        <v>0</v>
      </c>
      <c r="E23" s="1"/>
      <c r="F23" s="18"/>
      <c r="G23" s="1"/>
      <c r="H23" s="1"/>
      <c r="I23" s="1"/>
      <c r="J23" s="1"/>
      <c r="K23" s="1"/>
      <c r="L23" s="1"/>
      <c r="M23" s="1"/>
      <c r="N23" s="1"/>
    </row>
    <row r="24" spans="1:14">
      <c r="A24" s="6" t="s">
        <v>9</v>
      </c>
      <c r="B24" s="1" t="s">
        <v>45</v>
      </c>
      <c r="C24" s="1" t="s">
        <v>46</v>
      </c>
      <c r="D24" s="12">
        <v>0</v>
      </c>
      <c r="E24" s="1"/>
      <c r="F24" s="18"/>
      <c r="G24" s="1"/>
      <c r="H24" s="1"/>
      <c r="I24" s="1"/>
      <c r="J24" s="1"/>
      <c r="K24" s="1"/>
      <c r="L24" s="1"/>
      <c r="M24" s="1"/>
      <c r="N24" s="1"/>
    </row>
    <row r="25" spans="1:14">
      <c r="A25" s="6">
        <v>42629</v>
      </c>
      <c r="B25" s="1" t="s">
        <v>48</v>
      </c>
      <c r="C25" s="1" t="s">
        <v>49</v>
      </c>
      <c r="D25" s="12">
        <v>308</v>
      </c>
      <c r="E25" s="1"/>
      <c r="F25" s="45"/>
      <c r="H25" s="1"/>
      <c r="I25" s="1"/>
      <c r="J25" s="1"/>
      <c r="K25" s="1"/>
      <c r="L25" s="1"/>
      <c r="M25" s="1"/>
      <c r="N25" s="1"/>
    </row>
    <row r="26" spans="1:14">
      <c r="A26" s="6">
        <v>42630</v>
      </c>
      <c r="B26" s="1" t="s">
        <v>27</v>
      </c>
      <c r="C26" s="1" t="s">
        <v>43</v>
      </c>
      <c r="D26" s="12">
        <v>50</v>
      </c>
      <c r="E26" s="1"/>
      <c r="F26" s="37">
        <v>261573870</v>
      </c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51</v>
      </c>
      <c r="C27" s="1" t="s">
        <v>52</v>
      </c>
      <c r="E27" s="1"/>
      <c r="F27" s="18"/>
      <c r="G27" s="1"/>
      <c r="H27" s="1"/>
      <c r="I27" s="1"/>
      <c r="J27" s="1"/>
      <c r="K27" s="1"/>
      <c r="L27" s="48"/>
      <c r="M27" s="1"/>
      <c r="N27" s="1"/>
    </row>
    <row r="28" spans="1:14">
      <c r="A28" s="6" t="s">
        <v>9</v>
      </c>
      <c r="B28" s="1" t="s">
        <v>38</v>
      </c>
      <c r="C28" s="1" t="s">
        <v>39</v>
      </c>
      <c r="D28" s="23">
        <v>0</v>
      </c>
      <c r="E28" s="1"/>
      <c r="F28" s="24"/>
      <c r="G28" s="1"/>
      <c r="H28" s="1"/>
      <c r="I28" s="1"/>
      <c r="J28" s="1"/>
      <c r="K28" s="1"/>
      <c r="L28" s="1"/>
      <c r="M28" s="1"/>
      <c r="N28" s="1"/>
    </row>
    <row r="29" spans="1:14">
      <c r="A29" s="6" t="s">
        <v>9</v>
      </c>
      <c r="B29" s="1" t="s">
        <v>34</v>
      </c>
      <c r="C29" s="1" t="s">
        <v>54</v>
      </c>
      <c r="D29" s="12">
        <v>0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22" t="s">
        <v>56</v>
      </c>
      <c r="D31" s="28">
        <f>SUM(D3:D29)</f>
        <v>3779.9799999999996</v>
      </c>
      <c r="E31" s="1"/>
      <c r="F31" s="18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 t="s">
        <v>57</v>
      </c>
      <c r="D32" s="1"/>
      <c r="E32" s="1"/>
      <c r="F32" s="18"/>
      <c r="G32" s="1"/>
      <c r="H32" s="1"/>
      <c r="I32" s="1"/>
      <c r="J32" s="12"/>
      <c r="K32" s="1"/>
      <c r="L32" s="1"/>
      <c r="M32" s="1"/>
      <c r="N32" s="1"/>
    </row>
    <row r="33" spans="1:14">
      <c r="A33" s="6"/>
      <c r="B33" s="29"/>
      <c r="C33" s="29" t="s">
        <v>58</v>
      </c>
      <c r="D33" s="30">
        <v>0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6"/>
      <c r="B34" s="29"/>
      <c r="C34" s="29" t="s">
        <v>59</v>
      </c>
      <c r="D34" s="1">
        <v>4655.04</v>
      </c>
      <c r="E34" s="30"/>
      <c r="F34" s="31"/>
      <c r="G34" s="29"/>
      <c r="H34" s="29"/>
      <c r="I34" s="29"/>
      <c r="J34" s="29"/>
      <c r="K34" s="29"/>
      <c r="L34" s="29"/>
      <c r="M34" s="29"/>
      <c r="N34" s="29"/>
    </row>
    <row r="35" spans="1:14">
      <c r="A35" s="1"/>
      <c r="B35" s="1"/>
      <c r="C35" s="1" t="s">
        <v>60</v>
      </c>
      <c r="D35" s="32">
        <f>D34-D31</f>
        <v>875.0600000000004</v>
      </c>
      <c r="E35" s="32"/>
      <c r="F35" s="18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B37" s="1"/>
      <c r="C37" s="33"/>
      <c r="D37" s="12"/>
      <c r="E37" s="12"/>
      <c r="F37" s="1"/>
      <c r="G37" s="1"/>
      <c r="H37" s="1"/>
      <c r="I37" s="1"/>
      <c r="J37" s="12"/>
      <c r="K37" s="1"/>
      <c r="L37" s="1"/>
      <c r="M37" s="1"/>
      <c r="N37" s="1"/>
    </row>
    <row r="38" spans="1:14">
      <c r="B38" s="1"/>
      <c r="C38" s="32">
        <f>D35/4</f>
        <v>218.7650000000001</v>
      </c>
      <c r="D38" s="12"/>
      <c r="E38" s="12"/>
      <c r="F38" s="1"/>
      <c r="G38" s="12"/>
      <c r="H38" s="12"/>
      <c r="I38" s="12"/>
      <c r="J38" s="1"/>
      <c r="K38" s="1"/>
      <c r="L38" s="1"/>
      <c r="M38" s="1"/>
      <c r="N38" s="1"/>
    </row>
    <row r="39" spans="1:1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2" spans="1:14">
      <c r="B42" s="1"/>
      <c r="C42" s="34"/>
      <c r="D42" s="12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/>
      <c r="D43" s="12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1"/>
      <c r="D44" s="12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B45" s="1"/>
      <c r="C45" s="32"/>
      <c r="D45" s="12"/>
      <c r="E45" s="1"/>
      <c r="F45" s="1"/>
      <c r="G45" s="1"/>
      <c r="H45" s="1"/>
      <c r="I45" s="1"/>
      <c r="J45" s="1"/>
      <c r="K45" s="1"/>
      <c r="L45" s="1"/>
      <c r="M45" s="1"/>
      <c r="N45" s="1"/>
    </row>
    <row r="47" spans="1:14">
      <c r="B47" s="1"/>
      <c r="C47" s="1"/>
      <c r="D47" s="1"/>
      <c r="E47" s="1"/>
      <c r="F47" s="18"/>
      <c r="G47" s="1"/>
      <c r="H47" s="1"/>
      <c r="I47" s="1"/>
      <c r="J47" s="1"/>
      <c r="K47" s="1"/>
      <c r="L47" s="1"/>
      <c r="M47" s="1"/>
      <c r="N47" s="1"/>
    </row>
    <row r="49" spans="7:8">
      <c r="G49" s="1"/>
      <c r="H49" s="1"/>
    </row>
    <row r="50" spans="7:8">
      <c r="G50" s="1"/>
      <c r="H50" s="1"/>
    </row>
    <row r="51" spans="7:8">
      <c r="G51" s="1"/>
      <c r="H51" s="1"/>
    </row>
  </sheetData>
  <mergeCells count="1">
    <mergeCell ref="A1:D1"/>
  </mergeCells>
  <hyperlinks>
    <hyperlink ref="G14" r:id="rId1" xr:uid="{00000000-0004-0000-20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50"/>
  <sheetViews>
    <sheetView zoomScaleNormal="100" workbookViewId="0">
      <selection activeCell="A19" sqref="A19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114" t="s">
        <v>464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42644</v>
      </c>
      <c r="B3" s="7" t="s">
        <v>6</v>
      </c>
      <c r="C3" s="1" t="s">
        <v>359</v>
      </c>
      <c r="D3" s="8">
        <v>1148.6500000000001</v>
      </c>
      <c r="E3" s="9"/>
      <c r="F3" s="45" t="s">
        <v>465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42644</v>
      </c>
      <c r="B4" s="7" t="s">
        <v>6</v>
      </c>
      <c r="C4" s="1" t="s">
        <v>456</v>
      </c>
      <c r="D4" s="8">
        <v>144</v>
      </c>
      <c r="E4" s="9"/>
      <c r="F4" s="45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42644</v>
      </c>
      <c r="B5" s="7" t="s">
        <v>12</v>
      </c>
      <c r="C5" s="1" t="s">
        <v>13</v>
      </c>
      <c r="D5" s="12">
        <v>150</v>
      </c>
      <c r="E5" s="9"/>
      <c r="F5" s="42" t="s">
        <v>466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42650</v>
      </c>
      <c r="B6" s="7" t="s">
        <v>18</v>
      </c>
      <c r="C6" s="1" t="s">
        <v>19</v>
      </c>
      <c r="D6" s="12">
        <v>110.52</v>
      </c>
      <c r="E6" s="12"/>
      <c r="F6">
        <v>102048857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42657</v>
      </c>
      <c r="B7" s="7" t="s">
        <v>155</v>
      </c>
      <c r="C7" s="1" t="s">
        <v>16</v>
      </c>
      <c r="D7" s="12">
        <v>61</v>
      </c>
      <c r="E7" s="12"/>
      <c r="F7" t="s">
        <v>467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468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42657</v>
      </c>
      <c r="B9" s="7" t="s">
        <v>21</v>
      </c>
      <c r="C9" s="1" t="s">
        <v>23</v>
      </c>
      <c r="D9" s="12">
        <v>236</v>
      </c>
      <c r="E9" s="9"/>
      <c r="F9" s="18" t="s">
        <v>469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42657</v>
      </c>
      <c r="B10" s="7" t="s">
        <v>21</v>
      </c>
      <c r="C10" s="1" t="s">
        <v>25</v>
      </c>
      <c r="D10" s="12">
        <v>30.25</v>
      </c>
      <c r="E10" s="16"/>
      <c r="F10" s="18" t="s">
        <v>470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42657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42657</v>
      </c>
      <c r="B12" s="7" t="s">
        <v>21</v>
      </c>
      <c r="C12" s="1" t="s">
        <v>471</v>
      </c>
      <c r="D12" s="12">
        <v>297</v>
      </c>
      <c r="E12" s="16"/>
      <c r="F12" s="19" t="s">
        <v>472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42657</v>
      </c>
      <c r="B13" s="7" t="s">
        <v>105</v>
      </c>
      <c r="C13" s="1" t="s">
        <v>186</v>
      </c>
      <c r="D13" s="12">
        <v>53.1</v>
      </c>
      <c r="E13" s="12"/>
      <c r="F13" s="18" t="s">
        <v>473</v>
      </c>
      <c r="G13" s="35" t="s">
        <v>74</v>
      </c>
      <c r="H13" s="1"/>
      <c r="I13" s="1"/>
      <c r="J13" s="1"/>
      <c r="K13" s="1"/>
      <c r="L13" s="1"/>
      <c r="M13" s="1"/>
      <c r="N13" s="1"/>
    </row>
    <row r="14" spans="1:14">
      <c r="A14" s="6">
        <v>42657</v>
      </c>
      <c r="B14" s="7" t="s">
        <v>27</v>
      </c>
      <c r="C14" s="1" t="s">
        <v>28</v>
      </c>
      <c r="D14" s="12">
        <v>64.989999999999995</v>
      </c>
      <c r="E14" s="9"/>
      <c r="F14" s="44" t="s">
        <v>474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0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42657</v>
      </c>
      <c r="B16" s="7" t="s">
        <v>31</v>
      </c>
      <c r="C16" s="1" t="s">
        <v>32</v>
      </c>
      <c r="D16" s="12">
        <v>131.29</v>
      </c>
      <c r="E16" s="9"/>
      <c r="F16" s="47"/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42657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6">
        <v>42671</v>
      </c>
      <c r="B18" s="7" t="s">
        <v>367</v>
      </c>
      <c r="C18" s="1" t="s">
        <v>35</v>
      </c>
      <c r="D18" s="12">
        <v>161</v>
      </c>
      <c r="E18" s="9"/>
      <c r="F18" s="17"/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7"/>
      <c r="C19" s="1"/>
      <c r="D19" s="1"/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2" t="s">
        <v>37</v>
      </c>
      <c r="D21" s="1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42644</v>
      </c>
      <c r="B22" s="1" t="s">
        <v>45</v>
      </c>
      <c r="C22" s="1" t="s">
        <v>258</v>
      </c>
      <c r="D22" s="12">
        <v>0</v>
      </c>
      <c r="E22" s="1"/>
      <c r="F22" s="18" t="s">
        <v>475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42650</v>
      </c>
      <c r="B23" s="1" t="s">
        <v>45</v>
      </c>
      <c r="C23" s="1" t="s">
        <v>46</v>
      </c>
      <c r="D23" s="12">
        <v>0</v>
      </c>
      <c r="E23" s="1"/>
      <c r="F23" s="18" t="s">
        <v>476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42657</v>
      </c>
      <c r="B24" s="1" t="s">
        <v>48</v>
      </c>
      <c r="C24" s="1" t="s">
        <v>49</v>
      </c>
      <c r="D24" s="12">
        <v>308</v>
      </c>
      <c r="E24" s="1"/>
      <c r="F24" s="45">
        <v>340698</v>
      </c>
      <c r="H24" s="1"/>
      <c r="I24" s="1"/>
      <c r="J24" s="1"/>
      <c r="K24" s="1"/>
      <c r="L24" s="1"/>
      <c r="M24" s="1"/>
      <c r="N24" s="1"/>
    </row>
    <row r="25" spans="1:14">
      <c r="A25" s="6">
        <v>42657</v>
      </c>
      <c r="B25" s="1" t="s">
        <v>27</v>
      </c>
      <c r="C25" s="1" t="s">
        <v>43</v>
      </c>
      <c r="D25" s="12">
        <v>50</v>
      </c>
      <c r="E25" s="1"/>
      <c r="F25" s="37">
        <v>264263381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51</v>
      </c>
      <c r="C26" s="1" t="s">
        <v>52</v>
      </c>
      <c r="E26" s="1"/>
      <c r="F26" s="18"/>
      <c r="G26" s="1"/>
      <c r="H26" s="1"/>
      <c r="I26" s="1"/>
      <c r="J26" s="1"/>
      <c r="K26" s="1"/>
      <c r="L26" s="48"/>
      <c r="M26" s="1"/>
      <c r="N26" s="1"/>
    </row>
    <row r="27" spans="1:14">
      <c r="A27" s="6" t="s">
        <v>9</v>
      </c>
      <c r="B27" s="1" t="s">
        <v>38</v>
      </c>
      <c r="C27" s="1" t="s">
        <v>39</v>
      </c>
      <c r="D27" s="23">
        <v>0</v>
      </c>
      <c r="E27" s="1"/>
      <c r="F27" s="24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3723.5999999999995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4655.04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931.44000000000051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/>
      <c r="J36" s="12"/>
      <c r="K36" s="1"/>
      <c r="L36" s="1"/>
      <c r="M36" s="1"/>
      <c r="N36" s="1"/>
    </row>
    <row r="37" spans="1:14">
      <c r="B37" s="1"/>
      <c r="C37" s="32">
        <f>D34/4</f>
        <v>232.86000000000013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/>
      <c r="D41" s="12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/>
      <c r="D43" s="12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/>
      <c r="D44" s="12"/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hyperlinks>
    <hyperlink ref="G13" r:id="rId1" xr:uid="{00000000-0004-0000-21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50"/>
  <sheetViews>
    <sheetView zoomScaleNormal="100" workbookViewId="0">
      <selection activeCell="A19" sqref="A19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477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42671</v>
      </c>
      <c r="B3" s="7" t="s">
        <v>6</v>
      </c>
      <c r="C3" s="1" t="s">
        <v>359</v>
      </c>
      <c r="D3" s="8">
        <v>1159.3499999999999</v>
      </c>
      <c r="E3" s="9"/>
      <c r="F3" s="45" t="s">
        <v>478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42671</v>
      </c>
      <c r="B4" s="7" t="s">
        <v>6</v>
      </c>
      <c r="C4" s="1" t="s">
        <v>456</v>
      </c>
      <c r="D4" s="8">
        <v>144</v>
      </c>
      <c r="E4" s="9"/>
      <c r="F4" s="45" t="s">
        <v>479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42671</v>
      </c>
      <c r="B5" s="7" t="s">
        <v>12</v>
      </c>
      <c r="C5" s="1" t="s">
        <v>13</v>
      </c>
      <c r="D5" s="12">
        <v>150</v>
      </c>
      <c r="E5" s="9"/>
      <c r="F5" s="42" t="s">
        <v>480</v>
      </c>
      <c r="G5" s="11">
        <v>671202375</v>
      </c>
      <c r="H5" s="11"/>
      <c r="I5" s="11"/>
      <c r="J5" s="11"/>
      <c r="K5" s="11"/>
      <c r="L5" s="11"/>
      <c r="M5" s="11"/>
      <c r="N5" s="11"/>
    </row>
    <row r="6" spans="1:14">
      <c r="A6" s="6">
        <v>42679</v>
      </c>
      <c r="B6" s="7" t="s">
        <v>18</v>
      </c>
      <c r="C6" s="1" t="s">
        <v>19</v>
      </c>
      <c r="D6" s="12">
        <v>110.52</v>
      </c>
      <c r="E6" s="12"/>
      <c r="F6">
        <v>103358421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42687</v>
      </c>
      <c r="B7" s="7" t="s">
        <v>155</v>
      </c>
      <c r="C7" s="1" t="s">
        <v>16</v>
      </c>
      <c r="D7" s="12">
        <v>61</v>
      </c>
      <c r="E7" s="12"/>
      <c r="F7" t="s">
        <v>481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468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42687</v>
      </c>
      <c r="B9" s="7" t="s">
        <v>21</v>
      </c>
      <c r="C9" s="1" t="s">
        <v>23</v>
      </c>
      <c r="D9" s="12">
        <v>236</v>
      </c>
      <c r="E9" s="9"/>
      <c r="F9" s="18" t="s">
        <v>482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18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42687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42687</v>
      </c>
      <c r="B12" s="7" t="s">
        <v>21</v>
      </c>
      <c r="C12" s="1" t="s">
        <v>471</v>
      </c>
      <c r="D12" s="12">
        <v>297</v>
      </c>
      <c r="E12" s="16"/>
      <c r="F12" s="19" t="s">
        <v>483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42689</v>
      </c>
      <c r="B13" s="7" t="s">
        <v>105</v>
      </c>
      <c r="C13" s="1" t="s">
        <v>186</v>
      </c>
      <c r="D13" s="12">
        <v>53.1</v>
      </c>
      <c r="E13" s="12"/>
      <c r="F13" s="18" t="s">
        <v>484</v>
      </c>
      <c r="G13" s="35" t="s">
        <v>74</v>
      </c>
      <c r="H13" s="1"/>
      <c r="I13" s="1"/>
      <c r="J13" s="1"/>
      <c r="K13" s="1"/>
      <c r="L13" s="1"/>
      <c r="M13" s="1"/>
      <c r="N13" s="1"/>
    </row>
    <row r="14" spans="1:14">
      <c r="A14" s="6">
        <v>42687</v>
      </c>
      <c r="B14" s="7" t="s">
        <v>27</v>
      </c>
      <c r="C14" s="1" t="s">
        <v>28</v>
      </c>
      <c r="D14" s="12">
        <v>64.95</v>
      </c>
      <c r="E14" s="9"/>
      <c r="F14" s="44" t="s">
        <v>485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0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42699</v>
      </c>
      <c r="B16" s="7" t="s">
        <v>31</v>
      </c>
      <c r="C16" s="1" t="s">
        <v>486</v>
      </c>
      <c r="D16" s="12">
        <v>131.29</v>
      </c>
      <c r="E16" s="9"/>
      <c r="F16" s="47" t="s">
        <v>487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42699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6">
        <v>42699</v>
      </c>
      <c r="B18" s="7" t="s">
        <v>367</v>
      </c>
      <c r="C18" s="1" t="s">
        <v>35</v>
      </c>
      <c r="D18" s="12">
        <v>161</v>
      </c>
      <c r="E18" s="9"/>
      <c r="F18" s="17" t="s">
        <v>488</v>
      </c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7"/>
      <c r="C19" s="1"/>
      <c r="D19" s="1"/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2" t="s">
        <v>37</v>
      </c>
      <c r="D21" s="1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42679</v>
      </c>
      <c r="B22" s="1" t="s">
        <v>45</v>
      </c>
      <c r="C22" s="1" t="s">
        <v>258</v>
      </c>
      <c r="D22" s="12">
        <v>0</v>
      </c>
      <c r="E22" s="1"/>
      <c r="F22" s="18" t="s">
        <v>489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42679</v>
      </c>
      <c r="B23" s="1" t="s">
        <v>45</v>
      </c>
      <c r="C23" s="1" t="s">
        <v>46</v>
      </c>
      <c r="D23" s="12">
        <v>0</v>
      </c>
      <c r="E23" s="1"/>
      <c r="F23" s="18" t="s">
        <v>490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42687</v>
      </c>
      <c r="B24" s="1" t="s">
        <v>48</v>
      </c>
      <c r="C24" s="1" t="s">
        <v>49</v>
      </c>
      <c r="D24" s="12">
        <v>308</v>
      </c>
      <c r="E24" s="1"/>
      <c r="F24" s="45"/>
      <c r="H24" s="1"/>
      <c r="I24" s="1"/>
      <c r="J24" s="1"/>
      <c r="K24" s="1"/>
      <c r="L24" s="1"/>
      <c r="M24" s="1"/>
      <c r="N24" s="1"/>
    </row>
    <row r="25" spans="1:14">
      <c r="A25" s="6">
        <v>42687</v>
      </c>
      <c r="B25" s="1" t="s">
        <v>27</v>
      </c>
      <c r="C25" s="1" t="s">
        <v>43</v>
      </c>
      <c r="D25" s="12">
        <v>50</v>
      </c>
      <c r="E25" s="1"/>
      <c r="F25" s="37">
        <v>267257012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51</v>
      </c>
      <c r="C26" s="1" t="s">
        <v>52</v>
      </c>
      <c r="E26" s="1"/>
      <c r="F26" s="18"/>
      <c r="G26" s="1"/>
      <c r="H26" s="1"/>
      <c r="I26" s="1"/>
      <c r="J26" s="1"/>
      <c r="K26" s="1"/>
      <c r="L26" s="48"/>
      <c r="M26" s="1"/>
      <c r="N26" s="1"/>
    </row>
    <row r="27" spans="1:14">
      <c r="A27" s="6" t="s">
        <v>9</v>
      </c>
      <c r="B27" s="1" t="s">
        <v>38</v>
      </c>
      <c r="C27" s="1" t="s">
        <v>39</v>
      </c>
      <c r="D27" s="23">
        <v>0</v>
      </c>
      <c r="E27" s="1"/>
      <c r="F27" s="24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3734.2599999999993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4655.04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920.78000000000065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/>
      <c r="J36" s="12"/>
      <c r="K36" s="1"/>
      <c r="L36" s="1"/>
      <c r="M36" s="1"/>
      <c r="N36" s="1"/>
    </row>
    <row r="37" spans="1:14">
      <c r="B37" s="1"/>
      <c r="C37" s="32">
        <f>D34/4</f>
        <v>230.19500000000016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36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4.1950000000001637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hyperlinks>
    <hyperlink ref="G13" r:id="rId1" xr:uid="{00000000-0004-0000-22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50"/>
  <sheetViews>
    <sheetView zoomScaleNormal="100" workbookViewId="0">
      <selection activeCell="A19" sqref="A19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491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42705</v>
      </c>
      <c r="B3" s="7" t="s">
        <v>6</v>
      </c>
      <c r="C3" s="1" t="s">
        <v>359</v>
      </c>
      <c r="D3" s="8">
        <v>1159.3499999999999</v>
      </c>
      <c r="E3" s="9"/>
      <c r="F3" s="45" t="s">
        <v>492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42705</v>
      </c>
      <c r="B4" s="7" t="s">
        <v>6</v>
      </c>
      <c r="C4" s="1" t="s">
        <v>456</v>
      </c>
      <c r="D4" s="8">
        <v>144</v>
      </c>
      <c r="E4" s="9"/>
      <c r="F4" s="45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42705</v>
      </c>
      <c r="B5" s="7" t="s">
        <v>12</v>
      </c>
      <c r="C5" s="1" t="s">
        <v>13</v>
      </c>
      <c r="D5" s="12">
        <v>150</v>
      </c>
      <c r="E5" s="9"/>
      <c r="F5" s="42" t="s">
        <v>493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42713</v>
      </c>
      <c r="B6" s="7" t="s">
        <v>18</v>
      </c>
      <c r="C6" s="1" t="s">
        <v>19</v>
      </c>
      <c r="D6" s="12">
        <v>110.52</v>
      </c>
      <c r="E6" s="12"/>
      <c r="F6">
        <v>104937290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42715</v>
      </c>
      <c r="B7" s="7" t="s">
        <v>155</v>
      </c>
      <c r="C7" s="1" t="s">
        <v>16</v>
      </c>
      <c r="D7" s="12">
        <v>61</v>
      </c>
      <c r="E7" s="12"/>
      <c r="F7" t="s">
        <v>494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468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42715</v>
      </c>
      <c r="B9" s="7" t="s">
        <v>21</v>
      </c>
      <c r="C9" s="1" t="s">
        <v>23</v>
      </c>
      <c r="D9" s="12">
        <v>236</v>
      </c>
      <c r="E9" s="9"/>
      <c r="F9" s="18" t="s">
        <v>495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42715</v>
      </c>
      <c r="B10" s="7" t="s">
        <v>21</v>
      </c>
      <c r="C10" s="1" t="s">
        <v>25</v>
      </c>
      <c r="D10" s="12">
        <v>30.25</v>
      </c>
      <c r="E10" s="16"/>
      <c r="F10" s="18" t="s">
        <v>496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42715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42715</v>
      </c>
      <c r="B12" s="7" t="s">
        <v>21</v>
      </c>
      <c r="C12" s="1" t="s">
        <v>471</v>
      </c>
      <c r="D12" s="12">
        <v>297</v>
      </c>
      <c r="E12" s="16"/>
      <c r="F12" s="18" t="s">
        <v>497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42715</v>
      </c>
      <c r="B13" s="7" t="s">
        <v>105</v>
      </c>
      <c r="C13" s="1" t="s">
        <v>186</v>
      </c>
      <c r="D13" s="12">
        <v>53.1</v>
      </c>
      <c r="E13" s="12"/>
      <c r="F13" s="18" t="s">
        <v>498</v>
      </c>
      <c r="G13" s="35" t="s">
        <v>74</v>
      </c>
      <c r="H13" s="1"/>
      <c r="I13" s="1"/>
      <c r="J13" s="1"/>
      <c r="K13" s="1"/>
      <c r="L13" s="1"/>
      <c r="M13" s="1"/>
      <c r="N13" s="1"/>
    </row>
    <row r="14" spans="1:14">
      <c r="A14" s="6">
        <v>42715</v>
      </c>
      <c r="B14" s="7" t="s">
        <v>27</v>
      </c>
      <c r="C14" s="1" t="s">
        <v>28</v>
      </c>
      <c r="D14" s="12">
        <v>64.95</v>
      </c>
      <c r="E14" s="9"/>
      <c r="F14" s="44"/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0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42727</v>
      </c>
      <c r="B16" s="7" t="s">
        <v>31</v>
      </c>
      <c r="C16" s="1" t="s">
        <v>486</v>
      </c>
      <c r="D16" s="12">
        <v>131.29</v>
      </c>
      <c r="E16" s="9"/>
      <c r="F16" s="47" t="s">
        <v>499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42727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6">
        <v>42727</v>
      </c>
      <c r="B18" s="7" t="s">
        <v>367</v>
      </c>
      <c r="C18" s="1" t="s">
        <v>35</v>
      </c>
      <c r="D18" s="12">
        <v>161</v>
      </c>
      <c r="E18" s="9"/>
      <c r="F18" s="17" t="s">
        <v>500</v>
      </c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7"/>
      <c r="C19" s="1"/>
      <c r="D19" s="1"/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2" t="s">
        <v>37</v>
      </c>
      <c r="D21" s="1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42713</v>
      </c>
      <c r="B22" s="1" t="s">
        <v>45</v>
      </c>
      <c r="C22" s="1" t="s">
        <v>258</v>
      </c>
      <c r="D22" s="12">
        <v>0</v>
      </c>
      <c r="E22" s="1"/>
      <c r="F22" s="18" t="s">
        <v>501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42713</v>
      </c>
      <c r="B23" s="1" t="s">
        <v>45</v>
      </c>
      <c r="C23" s="1" t="s">
        <v>46</v>
      </c>
      <c r="D23" s="12">
        <v>0</v>
      </c>
      <c r="E23" s="1"/>
      <c r="F23" s="18" t="s">
        <v>502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42713</v>
      </c>
      <c r="B24" s="1" t="s">
        <v>48</v>
      </c>
      <c r="C24" s="1" t="s">
        <v>49</v>
      </c>
      <c r="D24" s="12">
        <v>308</v>
      </c>
      <c r="E24" s="1"/>
      <c r="F24" s="45">
        <v>249912</v>
      </c>
      <c r="H24" s="1"/>
      <c r="I24" s="1"/>
      <c r="J24" s="1"/>
      <c r="K24" s="1"/>
      <c r="L24" s="1"/>
      <c r="M24" s="1"/>
      <c r="N24" s="1"/>
    </row>
    <row r="25" spans="1:14">
      <c r="A25" s="6">
        <v>42715</v>
      </c>
      <c r="B25" s="1" t="s">
        <v>27</v>
      </c>
      <c r="C25" s="1" t="s">
        <v>43</v>
      </c>
      <c r="D25" s="12">
        <v>100</v>
      </c>
      <c r="E25" s="1"/>
      <c r="F25" s="37">
        <v>270384093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51</v>
      </c>
      <c r="C26" s="1" t="s">
        <v>52</v>
      </c>
      <c r="E26" s="1"/>
      <c r="F26" s="18"/>
      <c r="G26" s="1"/>
      <c r="H26" s="1"/>
      <c r="I26" s="1"/>
      <c r="J26" s="1"/>
      <c r="K26" s="1"/>
      <c r="L26" s="48"/>
      <c r="M26" s="1"/>
      <c r="N26" s="1"/>
    </row>
    <row r="27" spans="1:14">
      <c r="A27" s="6" t="s">
        <v>9</v>
      </c>
      <c r="B27" s="1" t="s">
        <v>38</v>
      </c>
      <c r="C27" s="1" t="s">
        <v>39</v>
      </c>
      <c r="D27" s="23">
        <v>0</v>
      </c>
      <c r="E27" s="1"/>
      <c r="F27" s="24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3784.2599999999993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4655.04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870.78000000000065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/>
      <c r="J36" s="12"/>
      <c r="K36" s="1"/>
      <c r="L36" s="1"/>
      <c r="M36" s="1"/>
      <c r="N36" s="1"/>
    </row>
    <row r="37" spans="1:14">
      <c r="B37" s="1"/>
      <c r="C37" s="32">
        <f>D34/4</f>
        <v>217.69500000000016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36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-8.3049999999998363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hyperlinks>
    <hyperlink ref="G13" r:id="rId1" xr:uid="{00000000-0004-0000-23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50"/>
  <sheetViews>
    <sheetView zoomScaleNormal="100" workbookViewId="0">
      <selection activeCell="J41" sqref="J4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503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42739</v>
      </c>
      <c r="B3" s="7" t="s">
        <v>6</v>
      </c>
      <c r="C3" s="1" t="s">
        <v>359</v>
      </c>
      <c r="D3" s="8">
        <v>1159.3499999999999</v>
      </c>
      <c r="E3" s="9"/>
      <c r="F3" s="45" t="s">
        <v>504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42739</v>
      </c>
      <c r="B4" s="7" t="s">
        <v>6</v>
      </c>
      <c r="C4" s="1" t="s">
        <v>456</v>
      </c>
      <c r="D4" s="8">
        <v>144</v>
      </c>
      <c r="E4" s="9"/>
      <c r="F4" s="45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42739</v>
      </c>
      <c r="B5" s="7" t="s">
        <v>12</v>
      </c>
      <c r="C5" s="1" t="s">
        <v>13</v>
      </c>
      <c r="D5" s="12">
        <v>150</v>
      </c>
      <c r="E5" s="9"/>
      <c r="F5" s="42" t="s">
        <v>505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42742</v>
      </c>
      <c r="B6" s="7" t="s">
        <v>18</v>
      </c>
      <c r="C6" s="1" t="s">
        <v>19</v>
      </c>
      <c r="D6" s="12">
        <v>110.52</v>
      </c>
      <c r="E6" s="12"/>
      <c r="F6">
        <v>106261598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42742</v>
      </c>
      <c r="B7" s="7" t="s">
        <v>155</v>
      </c>
      <c r="C7" s="1" t="s">
        <v>16</v>
      </c>
      <c r="D7" s="12">
        <v>61</v>
      </c>
      <c r="E7" s="12"/>
      <c r="F7" t="s">
        <v>506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468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42742</v>
      </c>
      <c r="B9" s="7" t="s">
        <v>21</v>
      </c>
      <c r="C9" s="1" t="s">
        <v>23</v>
      </c>
      <c r="D9" s="12">
        <v>236</v>
      </c>
      <c r="E9" s="9"/>
      <c r="F9" s="18" t="s">
        <v>507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18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42742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42742</v>
      </c>
      <c r="B12" s="7" t="s">
        <v>21</v>
      </c>
      <c r="C12" s="1" t="s">
        <v>471</v>
      </c>
      <c r="D12" s="12">
        <v>297</v>
      </c>
      <c r="E12" s="16"/>
      <c r="F12" s="18" t="s">
        <v>507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42755</v>
      </c>
      <c r="B13" s="7" t="s">
        <v>105</v>
      </c>
      <c r="C13" s="1" t="s">
        <v>186</v>
      </c>
      <c r="D13" s="12">
        <v>53.1</v>
      </c>
      <c r="E13" s="12"/>
      <c r="F13" s="18" t="s">
        <v>508</v>
      </c>
      <c r="G13" s="35"/>
      <c r="H13" s="1"/>
      <c r="I13" s="1"/>
      <c r="J13" s="1"/>
      <c r="K13" s="1"/>
      <c r="L13" s="1"/>
      <c r="M13" s="1"/>
      <c r="N13" s="1"/>
    </row>
    <row r="14" spans="1:14">
      <c r="A14" s="6">
        <v>42742</v>
      </c>
      <c r="B14" s="7" t="s">
        <v>27</v>
      </c>
      <c r="C14" s="1" t="s">
        <v>28</v>
      </c>
      <c r="D14" s="12">
        <v>64.95</v>
      </c>
      <c r="E14" s="9"/>
      <c r="F14" s="44" t="s">
        <v>509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0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42755</v>
      </c>
      <c r="B16" s="7" t="s">
        <v>31</v>
      </c>
      <c r="C16" s="1" t="s">
        <v>486</v>
      </c>
      <c r="D16" s="12">
        <v>131.29</v>
      </c>
      <c r="E16" s="9"/>
      <c r="F16" s="18" t="s">
        <v>510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42755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6">
        <v>42755</v>
      </c>
      <c r="B18" s="7" t="s">
        <v>367</v>
      </c>
      <c r="C18" s="1" t="s">
        <v>35</v>
      </c>
      <c r="D18" s="12">
        <v>161</v>
      </c>
      <c r="E18" s="9"/>
      <c r="F18" s="17" t="s">
        <v>511</v>
      </c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7"/>
      <c r="C19" s="1"/>
      <c r="D19" s="1"/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2" t="s">
        <v>37</v>
      </c>
      <c r="D21" s="1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42742</v>
      </c>
      <c r="B22" s="1" t="s">
        <v>45</v>
      </c>
      <c r="C22" s="1" t="s">
        <v>258</v>
      </c>
      <c r="D22" s="12">
        <v>0</v>
      </c>
      <c r="E22" s="1"/>
      <c r="F22" s="18" t="s">
        <v>512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42742</v>
      </c>
      <c r="B23" s="1" t="s">
        <v>45</v>
      </c>
      <c r="C23" s="1" t="s">
        <v>46</v>
      </c>
      <c r="D23" s="12">
        <v>0</v>
      </c>
      <c r="E23" s="1"/>
      <c r="F23" s="18" t="s">
        <v>513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42742</v>
      </c>
      <c r="B24" s="1" t="s">
        <v>48</v>
      </c>
      <c r="C24" s="1" t="s">
        <v>49</v>
      </c>
      <c r="D24" s="12">
        <v>308</v>
      </c>
      <c r="E24" s="1"/>
      <c r="F24" s="45">
        <v>335046</v>
      </c>
      <c r="H24" s="1"/>
      <c r="I24" s="1"/>
      <c r="J24" s="1"/>
      <c r="K24" s="1"/>
      <c r="L24" s="1"/>
      <c r="M24" s="1"/>
      <c r="N24" s="1"/>
    </row>
    <row r="25" spans="1:14">
      <c r="A25" s="6">
        <v>42742</v>
      </c>
      <c r="B25" s="1" t="s">
        <v>27</v>
      </c>
      <c r="C25" s="1" t="s">
        <v>43</v>
      </c>
      <c r="D25" s="12">
        <v>100</v>
      </c>
      <c r="E25" s="1"/>
      <c r="F25" s="37">
        <v>273440014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51</v>
      </c>
      <c r="C26" s="1" t="s">
        <v>52</v>
      </c>
      <c r="E26" s="1"/>
      <c r="F26" s="18"/>
      <c r="G26" s="1"/>
      <c r="H26" s="1"/>
      <c r="I26" s="1"/>
      <c r="J26" s="1"/>
      <c r="K26" s="1"/>
      <c r="L26" s="48"/>
      <c r="M26" s="1"/>
      <c r="N26" s="1"/>
    </row>
    <row r="27" spans="1:14">
      <c r="A27" s="6" t="s">
        <v>9</v>
      </c>
      <c r="B27" s="1" t="s">
        <v>38</v>
      </c>
      <c r="C27" s="1" t="s">
        <v>39</v>
      </c>
      <c r="D27" s="23">
        <v>0</v>
      </c>
      <c r="E27" s="1"/>
      <c r="F27" s="24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3784.2599999999993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4655.04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870.78000000000065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/>
      <c r="J36" s="12"/>
      <c r="K36" s="1"/>
      <c r="L36" s="1"/>
      <c r="M36" s="1"/>
      <c r="N36" s="1"/>
    </row>
    <row r="37" spans="1:14">
      <c r="B37" s="1"/>
      <c r="C37" s="32">
        <f>D34/4</f>
        <v>217.69500000000016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36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-8.3049999999998363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50"/>
  <sheetViews>
    <sheetView zoomScaleNormal="100" workbookViewId="0">
      <selection activeCell="J41" sqref="J4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514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42769</v>
      </c>
      <c r="B3" s="7" t="s">
        <v>6</v>
      </c>
      <c r="C3" s="1" t="s">
        <v>359</v>
      </c>
      <c r="D3" s="8">
        <v>1159.3499999999999</v>
      </c>
      <c r="E3" s="9"/>
      <c r="F3" s="45" t="s">
        <v>515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42769</v>
      </c>
      <c r="B4" s="7" t="s">
        <v>6</v>
      </c>
      <c r="C4" s="1" t="s">
        <v>456</v>
      </c>
      <c r="D4" s="8">
        <v>144</v>
      </c>
      <c r="E4" s="9"/>
      <c r="F4" s="45">
        <v>1288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42769</v>
      </c>
      <c r="B5" s="7" t="s">
        <v>12</v>
      </c>
      <c r="C5" s="1" t="s">
        <v>13</v>
      </c>
      <c r="D5" s="12">
        <v>150</v>
      </c>
      <c r="E5" s="9"/>
      <c r="F5" s="42" t="s">
        <v>516</v>
      </c>
      <c r="G5" s="11"/>
      <c r="H5" s="11"/>
      <c r="I5" s="11"/>
      <c r="J5" s="11"/>
      <c r="K5" s="11"/>
      <c r="L5" s="11"/>
      <c r="M5" s="11"/>
      <c r="N5" s="11"/>
    </row>
    <row r="6" spans="1:14">
      <c r="A6" s="6">
        <v>42769</v>
      </c>
      <c r="B6" s="7" t="s">
        <v>18</v>
      </c>
      <c r="C6" s="1" t="s">
        <v>19</v>
      </c>
      <c r="D6" s="12">
        <v>110.52</v>
      </c>
      <c r="E6" s="12"/>
      <c r="F6">
        <v>107617936</v>
      </c>
      <c r="G6" s="11"/>
      <c r="H6" s="11"/>
      <c r="I6" s="11"/>
      <c r="J6" s="11"/>
      <c r="K6" s="11"/>
      <c r="L6" s="11"/>
      <c r="M6" s="11"/>
      <c r="N6" s="11"/>
    </row>
    <row r="7" spans="1:14">
      <c r="A7" s="6">
        <v>42775</v>
      </c>
      <c r="B7" s="7" t="s">
        <v>155</v>
      </c>
      <c r="C7" s="1" t="s">
        <v>16</v>
      </c>
      <c r="D7" s="12">
        <v>61</v>
      </c>
      <c r="E7" s="12"/>
      <c r="F7" t="s">
        <v>517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518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42775</v>
      </c>
      <c r="B9" s="7" t="s">
        <v>21</v>
      </c>
      <c r="C9" s="1" t="s">
        <v>23</v>
      </c>
      <c r="D9" s="12">
        <v>236</v>
      </c>
      <c r="E9" s="9"/>
      <c r="F9" s="18" t="s">
        <v>519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42776</v>
      </c>
      <c r="B10" s="7" t="s">
        <v>21</v>
      </c>
      <c r="C10" s="1" t="s">
        <v>25</v>
      </c>
      <c r="D10" s="12">
        <v>30.25</v>
      </c>
      <c r="E10" s="16"/>
      <c r="F10" s="45" t="s">
        <v>520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42775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42775</v>
      </c>
      <c r="B12" s="7" t="s">
        <v>21</v>
      </c>
      <c r="C12" s="1" t="s">
        <v>471</v>
      </c>
      <c r="D12" s="12">
        <v>297</v>
      </c>
      <c r="E12" s="16"/>
      <c r="F12" s="18" t="s">
        <v>521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42776</v>
      </c>
      <c r="B13" s="7" t="s">
        <v>105</v>
      </c>
      <c r="C13" s="1" t="s">
        <v>186</v>
      </c>
      <c r="D13" s="12">
        <v>53.1</v>
      </c>
      <c r="E13" s="12"/>
      <c r="F13" s="18" t="s">
        <v>522</v>
      </c>
      <c r="G13" s="35"/>
      <c r="H13" s="1"/>
      <c r="I13" s="1"/>
      <c r="J13" s="1"/>
      <c r="K13" s="1"/>
      <c r="L13" s="1"/>
      <c r="M13" s="1"/>
      <c r="N13" s="1"/>
    </row>
    <row r="14" spans="1:14">
      <c r="A14" s="6">
        <v>42783</v>
      </c>
      <c r="B14" s="7" t="s">
        <v>27</v>
      </c>
      <c r="C14" s="1" t="s">
        <v>28</v>
      </c>
      <c r="D14" s="12">
        <v>64.95</v>
      </c>
      <c r="E14" s="9"/>
      <c r="F14" s="44" t="s">
        <v>523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0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42783</v>
      </c>
      <c r="B16" s="7" t="s">
        <v>31</v>
      </c>
      <c r="C16" s="1" t="s">
        <v>486</v>
      </c>
      <c r="D16" s="12">
        <v>131.29</v>
      </c>
      <c r="E16" s="9"/>
      <c r="F16" s="18" t="s">
        <v>524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42783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6">
        <v>42783</v>
      </c>
      <c r="B18" s="7" t="s">
        <v>367</v>
      </c>
      <c r="C18" s="1" t="s">
        <v>35</v>
      </c>
      <c r="D18" s="12">
        <v>161</v>
      </c>
      <c r="E18" s="9"/>
      <c r="F18" s="17" t="s">
        <v>525</v>
      </c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7"/>
      <c r="C19" s="1"/>
      <c r="D19" s="1"/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2" t="s">
        <v>37</v>
      </c>
      <c r="D21" s="1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42769</v>
      </c>
      <c r="B22" s="1" t="s">
        <v>45</v>
      </c>
      <c r="C22" s="1" t="s">
        <v>258</v>
      </c>
      <c r="D22" s="12">
        <v>0</v>
      </c>
      <c r="E22" s="1"/>
      <c r="F22" s="18" t="s">
        <v>526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42769</v>
      </c>
      <c r="B23" s="1" t="s">
        <v>45</v>
      </c>
      <c r="C23" s="1" t="s">
        <v>46</v>
      </c>
      <c r="D23" s="12">
        <v>0</v>
      </c>
      <c r="E23" s="1"/>
      <c r="F23" s="18" t="s">
        <v>527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42769</v>
      </c>
      <c r="B24" s="1" t="s">
        <v>48</v>
      </c>
      <c r="C24" s="1" t="s">
        <v>49</v>
      </c>
      <c r="D24" s="12">
        <v>308</v>
      </c>
      <c r="E24" s="1"/>
      <c r="F24" s="45">
        <v>185661</v>
      </c>
      <c r="H24" s="1"/>
      <c r="I24" s="1"/>
      <c r="J24" s="1"/>
      <c r="K24" s="1"/>
      <c r="L24" s="1"/>
      <c r="M24" s="1"/>
      <c r="N24" s="1"/>
    </row>
    <row r="25" spans="1:14">
      <c r="A25" s="6">
        <v>42783</v>
      </c>
      <c r="B25" s="1" t="s">
        <v>27</v>
      </c>
      <c r="C25" s="1" t="s">
        <v>43</v>
      </c>
      <c r="D25" s="12">
        <v>129</v>
      </c>
      <c r="E25" s="1"/>
      <c r="F25" s="37">
        <v>276552372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51</v>
      </c>
      <c r="C26" s="1" t="s">
        <v>52</v>
      </c>
      <c r="E26" s="1"/>
      <c r="F26" s="18"/>
      <c r="G26" s="1"/>
      <c r="H26" s="1"/>
      <c r="I26" s="1"/>
      <c r="J26" s="1"/>
      <c r="K26" s="1"/>
      <c r="L26" s="48"/>
      <c r="M26" s="1"/>
      <c r="N26" s="1"/>
    </row>
    <row r="27" spans="1:14">
      <c r="A27" s="6" t="s">
        <v>9</v>
      </c>
      <c r="B27" s="1" t="s">
        <v>38</v>
      </c>
      <c r="C27" s="1" t="s">
        <v>39</v>
      </c>
      <c r="D27" s="23">
        <v>0</v>
      </c>
      <c r="E27" s="1"/>
      <c r="F27" s="24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3813.2599999999993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4655.04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841.78000000000065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/>
      <c r="J36" s="12"/>
      <c r="K36" s="1"/>
      <c r="L36" s="1"/>
      <c r="M36" s="1"/>
      <c r="N36" s="1"/>
    </row>
    <row r="37" spans="1:14">
      <c r="B37" s="1"/>
      <c r="C37" s="32">
        <f>D34/4</f>
        <v>210.44500000000016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36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-15.554999999999836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50"/>
  <sheetViews>
    <sheetView zoomScaleNormal="100" workbookViewId="0">
      <selection activeCell="J41" sqref="J4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528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42797</v>
      </c>
      <c r="B3" s="7" t="s">
        <v>6</v>
      </c>
      <c r="C3" s="1" t="s">
        <v>359</v>
      </c>
      <c r="D3" s="8">
        <v>1159.3499999999999</v>
      </c>
      <c r="E3" s="9"/>
      <c r="F3" s="45" t="s">
        <v>529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42797</v>
      </c>
      <c r="B4" s="7" t="s">
        <v>6</v>
      </c>
      <c r="C4" s="1" t="s">
        <v>456</v>
      </c>
      <c r="D4" s="8">
        <v>144</v>
      </c>
      <c r="E4" s="9"/>
      <c r="F4" s="45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42797</v>
      </c>
      <c r="B5" s="7" t="s">
        <v>12</v>
      </c>
      <c r="C5" s="1" t="s">
        <v>13</v>
      </c>
      <c r="D5" s="12">
        <v>150</v>
      </c>
      <c r="E5" s="9"/>
      <c r="F5" s="42" t="s">
        <v>530</v>
      </c>
      <c r="G5" s="11"/>
      <c r="H5" s="11"/>
      <c r="I5" s="11"/>
      <c r="J5" s="11"/>
      <c r="K5" s="11"/>
      <c r="L5" s="11"/>
      <c r="M5" s="11"/>
      <c r="N5" s="11"/>
    </row>
    <row r="6" spans="1:14">
      <c r="A6" s="6" t="s">
        <v>9</v>
      </c>
      <c r="B6" s="7" t="s">
        <v>18</v>
      </c>
      <c r="C6" s="1" t="s">
        <v>19</v>
      </c>
      <c r="D6" s="12">
        <v>110.52</v>
      </c>
      <c r="E6" s="12"/>
      <c r="G6" s="11"/>
      <c r="H6" s="11"/>
      <c r="I6" s="11"/>
      <c r="J6" s="11"/>
      <c r="K6" s="11"/>
      <c r="L6" s="11"/>
      <c r="M6" s="11"/>
      <c r="N6" s="11"/>
    </row>
    <row r="7" spans="1:14">
      <c r="A7" s="6">
        <v>42811</v>
      </c>
      <c r="B7" s="7" t="s">
        <v>155</v>
      </c>
      <c r="C7" s="1" t="s">
        <v>16</v>
      </c>
      <c r="D7" s="12">
        <v>61</v>
      </c>
      <c r="E7" s="12"/>
      <c r="F7" t="s">
        <v>531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518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42811</v>
      </c>
      <c r="B9" s="7" t="s">
        <v>21</v>
      </c>
      <c r="C9" s="1" t="s">
        <v>23</v>
      </c>
      <c r="D9" s="12">
        <v>236</v>
      </c>
      <c r="E9" s="9"/>
      <c r="F9" s="18" t="s">
        <v>532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45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42806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42811</v>
      </c>
      <c r="B12" s="7" t="s">
        <v>21</v>
      </c>
      <c r="C12" s="1" t="s">
        <v>471</v>
      </c>
      <c r="D12" s="12">
        <v>297</v>
      </c>
      <c r="E12" s="16"/>
      <c r="F12" s="18" t="s">
        <v>533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42811</v>
      </c>
      <c r="B13" s="7" t="s">
        <v>105</v>
      </c>
      <c r="C13" s="1" t="s">
        <v>186</v>
      </c>
      <c r="D13" s="12">
        <v>53.1</v>
      </c>
      <c r="E13" s="12"/>
      <c r="F13" s="18" t="s">
        <v>534</v>
      </c>
      <c r="G13" s="35"/>
      <c r="H13" s="1"/>
      <c r="I13" s="1"/>
      <c r="J13" s="1"/>
      <c r="K13" s="1"/>
      <c r="L13" s="1"/>
      <c r="M13" s="1"/>
      <c r="N13" s="1"/>
    </row>
    <row r="14" spans="1:14">
      <c r="A14" s="6">
        <v>42811</v>
      </c>
      <c r="B14" s="7" t="s">
        <v>27</v>
      </c>
      <c r="C14" s="1" t="s">
        <v>28</v>
      </c>
      <c r="D14" s="12">
        <v>64.95</v>
      </c>
      <c r="E14" s="9"/>
      <c r="F14" s="44" t="s">
        <v>535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0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42816</v>
      </c>
      <c r="B16" s="7" t="s">
        <v>31</v>
      </c>
      <c r="C16" s="1" t="s">
        <v>486</v>
      </c>
      <c r="D16" s="12">
        <v>131.29</v>
      </c>
      <c r="E16" s="9"/>
      <c r="F16" s="18" t="s">
        <v>536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42816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6">
        <v>42823</v>
      </c>
      <c r="B18" s="7" t="s">
        <v>367</v>
      </c>
      <c r="C18" s="1" t="s">
        <v>35</v>
      </c>
      <c r="D18" s="12">
        <v>161</v>
      </c>
      <c r="E18" s="9"/>
      <c r="F18" s="17" t="s">
        <v>537</v>
      </c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7"/>
      <c r="C19" s="1"/>
      <c r="D19" s="1"/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2" t="s">
        <v>37</v>
      </c>
      <c r="D21" s="1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1" t="s">
        <v>45</v>
      </c>
      <c r="C22" s="1" t="s">
        <v>258</v>
      </c>
      <c r="D22" s="12">
        <v>0</v>
      </c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42799</v>
      </c>
      <c r="B23" s="1" t="s">
        <v>45</v>
      </c>
      <c r="C23" s="1" t="s">
        <v>46</v>
      </c>
      <c r="D23" s="12">
        <v>0</v>
      </c>
      <c r="E23" s="1"/>
      <c r="F23" s="18" t="s">
        <v>538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42806</v>
      </c>
      <c r="B24" s="1" t="s">
        <v>48</v>
      </c>
      <c r="C24" s="1" t="s">
        <v>49</v>
      </c>
      <c r="D24" s="12">
        <v>369</v>
      </c>
      <c r="E24" s="1"/>
      <c r="F24" s="45"/>
      <c r="H24" s="1"/>
      <c r="I24" s="1"/>
      <c r="J24" s="1"/>
      <c r="K24" s="1"/>
      <c r="L24" s="1"/>
      <c r="M24" s="1"/>
      <c r="N24" s="1"/>
    </row>
    <row r="25" spans="1:14">
      <c r="A25" s="6">
        <v>42811</v>
      </c>
      <c r="B25" s="1" t="s">
        <v>27</v>
      </c>
      <c r="C25" s="1" t="s">
        <v>43</v>
      </c>
      <c r="D25" s="12">
        <v>129</v>
      </c>
      <c r="E25" s="1"/>
      <c r="F25" s="37" t="s">
        <v>539</v>
      </c>
      <c r="G25" s="1"/>
      <c r="H25" s="1"/>
      <c r="I25" s="1"/>
      <c r="J25" s="1"/>
      <c r="K25" s="1"/>
      <c r="L25" s="1"/>
      <c r="M25" s="1"/>
      <c r="N25" s="1"/>
    </row>
    <row r="26" spans="1:14">
      <c r="A26" s="6">
        <v>42811</v>
      </c>
      <c r="B26" s="1" t="s">
        <v>51</v>
      </c>
      <c r="C26" s="1" t="s">
        <v>52</v>
      </c>
      <c r="E26" s="1"/>
      <c r="F26" s="18" t="s">
        <v>540</v>
      </c>
      <c r="G26" s="1"/>
      <c r="H26" s="1"/>
      <c r="I26" s="1"/>
      <c r="J26" s="1"/>
      <c r="K26" s="1"/>
      <c r="L26" s="48"/>
      <c r="M26" s="1"/>
      <c r="N26" s="1"/>
    </row>
    <row r="27" spans="1:14">
      <c r="A27" t="s">
        <v>9</v>
      </c>
      <c r="B27" s="1" t="s">
        <v>38</v>
      </c>
      <c r="C27" s="1" t="s">
        <v>39</v>
      </c>
      <c r="D27" s="23">
        <v>0</v>
      </c>
      <c r="E27" s="1"/>
      <c r="F27" s="24"/>
      <c r="G27" s="1"/>
      <c r="H27" s="1"/>
      <c r="I27" s="1"/>
      <c r="J27" s="1"/>
      <c r="K27" s="1"/>
      <c r="L27" s="1"/>
      <c r="M27" s="1"/>
      <c r="N27" s="1"/>
    </row>
    <row r="28" spans="1:14">
      <c r="A28" s="6">
        <v>42811</v>
      </c>
      <c r="B28" s="1" t="s">
        <v>34</v>
      </c>
      <c r="C28" s="1" t="s">
        <v>54</v>
      </c>
      <c r="D28" s="12">
        <v>0</v>
      </c>
      <c r="E28" s="1"/>
      <c r="F28" s="18" t="s">
        <v>541</v>
      </c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3874.2599999999993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4655.04</v>
      </c>
      <c r="E33" s="30"/>
      <c r="F33" s="31"/>
      <c r="G33" s="29"/>
      <c r="H33" s="29"/>
      <c r="I33" s="29"/>
      <c r="J33" s="29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D33-D30</f>
        <v>780.78000000000065</v>
      </c>
      <c r="E34" s="32"/>
      <c r="F34" s="18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/>
      <c r="J36" s="12"/>
      <c r="K36" s="1"/>
      <c r="L36" s="1"/>
      <c r="M36" s="1"/>
      <c r="N36" s="1"/>
    </row>
    <row r="37" spans="1:14">
      <c r="B37" s="1"/>
      <c r="C37" s="32">
        <f>D34/4</f>
        <v>195.19500000000016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36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-30.804999999999836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50"/>
  <sheetViews>
    <sheetView zoomScaleNormal="100" workbookViewId="0">
      <selection activeCell="J41" sqref="J4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542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42825</v>
      </c>
      <c r="B3" s="7" t="s">
        <v>6</v>
      </c>
      <c r="C3" s="1" t="s">
        <v>359</v>
      </c>
      <c r="D3" s="8">
        <v>1159.3499999999999</v>
      </c>
      <c r="E3" s="9"/>
      <c r="F3" s="45" t="s">
        <v>543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42825</v>
      </c>
      <c r="B4" s="7" t="s">
        <v>6</v>
      </c>
      <c r="C4" s="1" t="s">
        <v>456</v>
      </c>
      <c r="D4" s="8">
        <v>144</v>
      </c>
      <c r="E4" s="9"/>
      <c r="F4" s="45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42825</v>
      </c>
      <c r="B5" s="7" t="s">
        <v>12</v>
      </c>
      <c r="C5" s="1" t="s">
        <v>13</v>
      </c>
      <c r="D5" s="12">
        <v>150</v>
      </c>
      <c r="E5" s="9"/>
      <c r="F5" s="42" t="s">
        <v>544</v>
      </c>
      <c r="G5" s="11"/>
      <c r="H5" s="11"/>
      <c r="I5" s="11"/>
      <c r="J5" s="11"/>
      <c r="K5" s="11"/>
      <c r="L5" s="11"/>
      <c r="M5" s="11"/>
      <c r="N5" s="11"/>
    </row>
    <row r="6" spans="1:14">
      <c r="A6" s="6" t="s">
        <v>9</v>
      </c>
      <c r="B6" s="7" t="s">
        <v>18</v>
      </c>
      <c r="C6" s="1" t="s">
        <v>19</v>
      </c>
      <c r="D6" s="12">
        <v>110.52</v>
      </c>
      <c r="E6" s="12"/>
      <c r="G6" s="11"/>
      <c r="H6" s="11"/>
      <c r="I6" s="11"/>
      <c r="J6" s="11"/>
      <c r="K6" s="11"/>
      <c r="L6" s="11"/>
      <c r="M6" s="11"/>
      <c r="N6" s="11"/>
    </row>
    <row r="7" spans="1:14">
      <c r="A7" s="6">
        <v>42839</v>
      </c>
      <c r="B7" s="7" t="s">
        <v>155</v>
      </c>
      <c r="C7" s="1" t="s">
        <v>16</v>
      </c>
      <c r="D7" s="12">
        <v>61</v>
      </c>
      <c r="E7" s="12"/>
      <c r="F7" t="s">
        <v>545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518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42839</v>
      </c>
      <c r="B9" s="7" t="s">
        <v>21</v>
      </c>
      <c r="C9" s="1" t="s">
        <v>23</v>
      </c>
      <c r="D9" s="12">
        <v>236</v>
      </c>
      <c r="E9" s="9"/>
      <c r="F9" s="18" t="s">
        <v>546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42839</v>
      </c>
      <c r="B10" s="7" t="s">
        <v>21</v>
      </c>
      <c r="C10" s="1" t="s">
        <v>25</v>
      </c>
      <c r="D10" s="12">
        <v>30.25</v>
      </c>
      <c r="E10" s="16"/>
      <c r="F10" s="45" t="s">
        <v>547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42839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42839</v>
      </c>
      <c r="B12" s="7" t="s">
        <v>21</v>
      </c>
      <c r="C12" s="1" t="s">
        <v>548</v>
      </c>
      <c r="D12" s="12">
        <v>297</v>
      </c>
      <c r="E12" s="16"/>
      <c r="F12" s="18" t="s">
        <v>549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42839</v>
      </c>
      <c r="B13" s="7" t="s">
        <v>105</v>
      </c>
      <c r="C13" s="1" t="s">
        <v>186</v>
      </c>
      <c r="D13" s="12">
        <v>53.1</v>
      </c>
      <c r="E13" s="12"/>
      <c r="F13" s="18" t="s">
        <v>550</v>
      </c>
      <c r="G13" s="35"/>
      <c r="H13" s="1"/>
      <c r="I13" s="1"/>
      <c r="J13" s="1"/>
      <c r="K13" s="1"/>
      <c r="L13" s="1"/>
      <c r="M13" s="1"/>
      <c r="N13" s="1"/>
    </row>
    <row r="14" spans="1:14">
      <c r="A14" s="6">
        <v>42839</v>
      </c>
      <c r="B14" s="7" t="s">
        <v>27</v>
      </c>
      <c r="C14" s="1" t="s">
        <v>28</v>
      </c>
      <c r="D14" s="12">
        <v>57.95</v>
      </c>
      <c r="E14" s="9"/>
      <c r="F14" s="44" t="s">
        <v>551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0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42852</v>
      </c>
      <c r="B16" s="7" t="s">
        <v>31</v>
      </c>
      <c r="C16" s="1" t="s">
        <v>486</v>
      </c>
      <c r="D16" s="12">
        <v>131.29</v>
      </c>
      <c r="E16" s="9"/>
      <c r="F16" s="18" t="s">
        <v>552</v>
      </c>
      <c r="G16" s="7"/>
      <c r="H16" s="7"/>
      <c r="I16" s="7"/>
      <c r="J16" s="7"/>
      <c r="K16" s="7"/>
      <c r="L16" s="7"/>
      <c r="M16" s="7"/>
      <c r="N16" s="7"/>
    </row>
    <row r="17" spans="1:14">
      <c r="A17" s="6">
        <v>42846</v>
      </c>
      <c r="B17" s="7" t="s">
        <v>211</v>
      </c>
      <c r="C17" s="1" t="s">
        <v>212</v>
      </c>
      <c r="D17" s="12">
        <v>283.66000000000003</v>
      </c>
      <c r="E17" s="12"/>
      <c r="F17" s="21"/>
      <c r="G17" s="11"/>
      <c r="H17" s="11"/>
      <c r="I17" s="11"/>
      <c r="J17" s="11"/>
      <c r="K17" s="11"/>
      <c r="L17" s="11"/>
      <c r="M17" s="11"/>
      <c r="N17" s="11"/>
    </row>
    <row r="18" spans="1:14">
      <c r="A18" s="6">
        <v>42853</v>
      </c>
      <c r="B18" s="7" t="s">
        <v>367</v>
      </c>
      <c r="C18" s="1" t="s">
        <v>35</v>
      </c>
      <c r="D18" s="12">
        <v>161</v>
      </c>
      <c r="E18" s="9"/>
      <c r="F18" s="17" t="s">
        <v>553</v>
      </c>
      <c r="G18" s="7"/>
      <c r="H18" s="7"/>
      <c r="I18" s="7"/>
      <c r="J18" s="7"/>
      <c r="K18" s="7"/>
      <c r="L18" s="7"/>
      <c r="M18" s="7"/>
      <c r="N18" s="7"/>
    </row>
    <row r="19" spans="1:14">
      <c r="A19" s="1"/>
      <c r="B19" s="7"/>
      <c r="C19" s="1"/>
      <c r="D19" s="1"/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2">
        <v>0</v>
      </c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2" t="s">
        <v>37</v>
      </c>
      <c r="D21" s="1"/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42833</v>
      </c>
      <c r="B22" s="1" t="s">
        <v>45</v>
      </c>
      <c r="C22" s="1" t="s">
        <v>258</v>
      </c>
      <c r="D22" s="12">
        <v>0</v>
      </c>
      <c r="E22" s="1"/>
      <c r="F22" s="18" t="s">
        <v>554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42833</v>
      </c>
      <c r="B23" s="1" t="s">
        <v>45</v>
      </c>
      <c r="C23" s="1" t="s">
        <v>46</v>
      </c>
      <c r="D23" s="12">
        <v>0</v>
      </c>
      <c r="E23" s="1"/>
      <c r="F23" s="18" t="s">
        <v>555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42839</v>
      </c>
      <c r="B24" s="1" t="s">
        <v>48</v>
      </c>
      <c r="C24" s="1" t="s">
        <v>49</v>
      </c>
      <c r="D24" s="12">
        <v>369</v>
      </c>
      <c r="E24" s="1"/>
      <c r="F24" s="45">
        <v>898604</v>
      </c>
      <c r="H24" s="1"/>
      <c r="I24" s="1"/>
      <c r="J24" s="1"/>
      <c r="K24" s="1"/>
      <c r="L24" s="1"/>
      <c r="M24" s="1"/>
      <c r="N24" s="1"/>
    </row>
    <row r="25" spans="1:14">
      <c r="A25" s="6">
        <v>42839</v>
      </c>
      <c r="B25" s="1" t="s">
        <v>27</v>
      </c>
      <c r="C25" s="1" t="s">
        <v>43</v>
      </c>
      <c r="D25" s="12">
        <v>129</v>
      </c>
      <c r="E25" s="1"/>
      <c r="F25" s="37">
        <v>284205287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1" t="s">
        <v>51</v>
      </c>
      <c r="C26" s="1" t="s">
        <v>52</v>
      </c>
      <c r="E26" s="1"/>
      <c r="F26" s="18"/>
      <c r="G26" s="1"/>
      <c r="H26" s="1"/>
      <c r="I26" s="1"/>
      <c r="J26" s="1"/>
      <c r="K26" s="1"/>
      <c r="L26" s="48"/>
      <c r="M26" s="1"/>
      <c r="N26" s="1"/>
    </row>
    <row r="27" spans="1:14">
      <c r="A27" t="s">
        <v>9</v>
      </c>
      <c r="B27" s="1" t="s">
        <v>38</v>
      </c>
      <c r="C27" s="1" t="s">
        <v>39</v>
      </c>
      <c r="D27" s="23">
        <v>0</v>
      </c>
      <c r="E27" s="1"/>
      <c r="F27" s="24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1" t="s">
        <v>34</v>
      </c>
      <c r="C28" s="1" t="s">
        <v>54</v>
      </c>
      <c r="D28" s="12">
        <v>0</v>
      </c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2" t="s">
        <v>56</v>
      </c>
      <c r="D30" s="28">
        <f>SUM(D3:D28)</f>
        <v>3867.2599999999993</v>
      </c>
      <c r="E30" s="1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18"/>
      <c r="G31" s="1"/>
      <c r="H31" s="1"/>
      <c r="I31" s="1"/>
      <c r="J31" s="12"/>
      <c r="K31" s="1"/>
      <c r="L31" s="1">
        <v>2289.88</v>
      </c>
      <c r="M31" s="1"/>
      <c r="N31" s="1"/>
    </row>
    <row r="32" spans="1:14">
      <c r="A32" s="6"/>
      <c r="B32" s="29"/>
      <c r="C32" s="29" t="s">
        <v>58</v>
      </c>
      <c r="D32" s="30">
        <v>0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4580</v>
      </c>
      <c r="E33" s="30"/>
      <c r="F33" s="31"/>
      <c r="G33" s="29"/>
      <c r="H33" s="29"/>
      <c r="I33" s="29"/>
      <c r="J33" s="29"/>
      <c r="K33" s="29"/>
      <c r="L33" s="29">
        <f>L31*2</f>
        <v>4579.76</v>
      </c>
      <c r="M33" s="29"/>
      <c r="N33" s="29">
        <f>L31*26</f>
        <v>59536.880000000005</v>
      </c>
    </row>
    <row r="34" spans="1:14">
      <c r="A34" s="1"/>
      <c r="B34" s="1"/>
      <c r="C34" s="1" t="s">
        <v>60</v>
      </c>
      <c r="D34" s="32">
        <f>D33-D30</f>
        <v>712.74000000000069</v>
      </c>
      <c r="E34" s="32"/>
      <c r="F34" s="18"/>
      <c r="G34" s="1"/>
      <c r="H34" s="1"/>
      <c r="I34" s="1"/>
      <c r="J34" s="1"/>
      <c r="K34" s="1"/>
      <c r="L34" s="1"/>
      <c r="M34" s="1"/>
      <c r="N34" s="1">
        <f>N33/12</f>
        <v>4961.4066666666668</v>
      </c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3"/>
      <c r="D36" s="12"/>
      <c r="E36" s="12"/>
      <c r="F36" s="1"/>
      <c r="G36" s="1"/>
      <c r="H36" s="1"/>
      <c r="I36" s="1"/>
      <c r="J36" s="12"/>
      <c r="K36" s="1"/>
      <c r="L36" s="1"/>
      <c r="M36" s="1"/>
      <c r="N36" s="1"/>
    </row>
    <row r="37" spans="1:14">
      <c r="B37" s="1"/>
      <c r="C37" s="32">
        <f>D34/4</f>
        <v>178.18500000000017</v>
      </c>
      <c r="D37" s="12"/>
      <c r="E37" s="12"/>
      <c r="F37" s="1"/>
      <c r="G37" s="12"/>
      <c r="H37" s="12"/>
      <c r="I37" s="12"/>
      <c r="J37" s="1"/>
      <c r="K37" s="1"/>
      <c r="L37" s="1"/>
      <c r="M37" s="1"/>
      <c r="N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1"/>
      <c r="C41" s="34">
        <v>150</v>
      </c>
      <c r="D41" s="12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2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36</v>
      </c>
      <c r="D43" s="12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2">
        <f>C37-C41-C42-C43</f>
        <v>-47.814999999999827</v>
      </c>
      <c r="D44" s="12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18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49"/>
  <sheetViews>
    <sheetView zoomScaleNormal="100" workbookViewId="0">
      <selection activeCell="J41" sqref="J4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556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42853</v>
      </c>
      <c r="B3" s="7" t="s">
        <v>6</v>
      </c>
      <c r="C3" s="1" t="s">
        <v>359</v>
      </c>
      <c r="D3" s="8">
        <v>1159.3499999999999</v>
      </c>
      <c r="E3" s="9"/>
      <c r="F3" s="45" t="s">
        <v>557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42853</v>
      </c>
      <c r="B4" s="7" t="s">
        <v>12</v>
      </c>
      <c r="C4" s="1" t="s">
        <v>13</v>
      </c>
      <c r="D4" s="12">
        <v>150</v>
      </c>
      <c r="E4" s="9"/>
      <c r="F4" s="42" t="s">
        <v>558</v>
      </c>
      <c r="G4" s="11"/>
      <c r="H4" s="11"/>
      <c r="I4" s="11"/>
      <c r="J4" s="11"/>
      <c r="K4" s="11"/>
      <c r="L4" s="11"/>
      <c r="M4" s="11"/>
      <c r="N4" s="11"/>
    </row>
    <row r="5" spans="1:14">
      <c r="A5" s="6" t="s">
        <v>9</v>
      </c>
      <c r="B5" s="7" t="s">
        <v>18</v>
      </c>
      <c r="C5" s="1" t="s">
        <v>19</v>
      </c>
      <c r="D5" s="12">
        <v>259.58</v>
      </c>
      <c r="E5" s="12"/>
      <c r="G5" s="11"/>
      <c r="H5" s="9"/>
      <c r="I5" s="11"/>
      <c r="J5" s="11"/>
      <c r="K5" s="11"/>
      <c r="L5" s="11"/>
      <c r="M5" s="11"/>
      <c r="N5" s="11"/>
    </row>
    <row r="6" spans="1:14">
      <c r="A6" s="6">
        <v>42874</v>
      </c>
      <c r="B6" s="7" t="s">
        <v>155</v>
      </c>
      <c r="C6" s="1" t="s">
        <v>16</v>
      </c>
      <c r="D6" s="12">
        <v>61</v>
      </c>
      <c r="E6" s="12"/>
      <c r="F6">
        <v>3926672953</v>
      </c>
      <c r="G6" s="11"/>
      <c r="H6" s="11"/>
      <c r="I6" s="11"/>
      <c r="J6" s="11"/>
      <c r="K6" s="11"/>
      <c r="L6" s="11"/>
      <c r="M6" s="11"/>
      <c r="N6" s="11"/>
    </row>
    <row r="7" spans="1:14">
      <c r="A7" s="6" t="s">
        <v>9</v>
      </c>
      <c r="B7" s="7" t="s">
        <v>21</v>
      </c>
      <c r="C7" s="1" t="s">
        <v>518</v>
      </c>
      <c r="D7" s="12">
        <v>0</v>
      </c>
      <c r="E7" s="9"/>
      <c r="F7" s="36"/>
      <c r="G7" s="16"/>
      <c r="H7" s="7"/>
      <c r="I7" s="7"/>
      <c r="J7" s="7"/>
      <c r="K7" s="7"/>
      <c r="L7" s="7"/>
      <c r="M7" s="7"/>
      <c r="N7" s="7"/>
    </row>
    <row r="8" spans="1:14">
      <c r="A8" s="6" t="s">
        <v>9</v>
      </c>
      <c r="B8" s="7" t="s">
        <v>21</v>
      </c>
      <c r="C8" s="1" t="s">
        <v>23</v>
      </c>
      <c r="D8" s="12">
        <v>294</v>
      </c>
      <c r="E8" s="9"/>
      <c r="F8" s="18"/>
      <c r="G8" s="1"/>
      <c r="H8" s="1"/>
      <c r="I8" s="1"/>
      <c r="J8" s="1"/>
      <c r="K8" s="1"/>
      <c r="L8" s="1"/>
      <c r="M8" s="1"/>
      <c r="N8" s="1"/>
    </row>
    <row r="9" spans="1:14">
      <c r="A9" s="6" t="s">
        <v>9</v>
      </c>
      <c r="B9" s="7" t="s">
        <v>21</v>
      </c>
      <c r="C9" s="1" t="s">
        <v>25</v>
      </c>
      <c r="D9" s="12">
        <v>30.25</v>
      </c>
      <c r="E9" s="16"/>
      <c r="F9" s="45"/>
      <c r="G9" s="11"/>
      <c r="H9" s="11"/>
      <c r="I9" s="11"/>
      <c r="J9" s="11"/>
      <c r="K9" s="11"/>
      <c r="L9" s="11"/>
      <c r="M9" s="11"/>
      <c r="N9" s="11"/>
    </row>
    <row r="10" spans="1:14">
      <c r="A10" s="6">
        <v>42868</v>
      </c>
      <c r="B10" s="7" t="s">
        <v>21</v>
      </c>
      <c r="C10" s="1" t="s">
        <v>209</v>
      </c>
      <c r="D10" s="12">
        <v>494.14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42868</v>
      </c>
      <c r="B11" s="7" t="s">
        <v>21</v>
      </c>
      <c r="C11" s="1" t="s">
        <v>548</v>
      </c>
      <c r="D11" s="12">
        <v>297</v>
      </c>
      <c r="E11" s="16"/>
      <c r="F11" s="18" t="s">
        <v>559</v>
      </c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42874</v>
      </c>
      <c r="B12" s="7" t="s">
        <v>105</v>
      </c>
      <c r="C12" s="1" t="s">
        <v>186</v>
      </c>
      <c r="D12" s="12">
        <v>53.1</v>
      </c>
      <c r="E12" s="12"/>
      <c r="F12" s="18" t="s">
        <v>560</v>
      </c>
      <c r="G12" s="35"/>
      <c r="H12" s="1"/>
      <c r="I12" s="1"/>
      <c r="J12" s="1"/>
      <c r="K12" s="1"/>
      <c r="L12" s="1"/>
      <c r="M12" s="1"/>
      <c r="N12" s="1"/>
    </row>
    <row r="13" spans="1:14">
      <c r="A13" s="6">
        <v>42874</v>
      </c>
      <c r="B13" s="7" t="s">
        <v>27</v>
      </c>
      <c r="C13" s="1" t="s">
        <v>28</v>
      </c>
      <c r="D13" s="12">
        <v>57.95</v>
      </c>
      <c r="E13" s="9"/>
      <c r="F13" s="44" t="s">
        <v>561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333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>
        <v>42874</v>
      </c>
      <c r="B15" s="7" t="s">
        <v>31</v>
      </c>
      <c r="C15" s="1" t="s">
        <v>486</v>
      </c>
      <c r="D15" s="12">
        <v>131.29</v>
      </c>
      <c r="E15" s="9"/>
      <c r="F15" s="18" t="s">
        <v>562</v>
      </c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42874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6">
        <v>42874</v>
      </c>
      <c r="B17" s="7" t="s">
        <v>367</v>
      </c>
      <c r="C17" s="1" t="s">
        <v>35</v>
      </c>
      <c r="D17" s="12">
        <v>161</v>
      </c>
      <c r="E17" s="9"/>
      <c r="F17" s="17" t="s">
        <v>563</v>
      </c>
      <c r="G17" s="7"/>
      <c r="H17" s="7"/>
      <c r="I17" s="7"/>
      <c r="J17" s="7"/>
      <c r="K17" s="7"/>
      <c r="L17" s="7"/>
      <c r="M17" s="7"/>
      <c r="N17" s="7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42853</v>
      </c>
      <c r="B21" s="1" t="s">
        <v>45</v>
      </c>
      <c r="C21" s="1" t="s">
        <v>258</v>
      </c>
      <c r="D21" s="12">
        <v>0</v>
      </c>
      <c r="E21" s="1"/>
      <c r="F21" s="18" t="s">
        <v>564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42853</v>
      </c>
      <c r="B22" s="1" t="s">
        <v>45</v>
      </c>
      <c r="C22" s="1" t="s">
        <v>46</v>
      </c>
      <c r="D22" s="12">
        <v>0</v>
      </c>
      <c r="E22" s="1"/>
      <c r="F22" s="18" t="s">
        <v>565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42868</v>
      </c>
      <c r="B23" s="1" t="s">
        <v>48</v>
      </c>
      <c r="C23" s="1" t="s">
        <v>49</v>
      </c>
      <c r="D23" s="12">
        <v>369</v>
      </c>
      <c r="E23" s="1"/>
      <c r="F23" s="45" t="s">
        <v>566</v>
      </c>
      <c r="H23" s="1"/>
      <c r="I23" s="1"/>
      <c r="J23" s="1"/>
      <c r="K23" s="1"/>
      <c r="L23" s="1"/>
      <c r="M23" s="1"/>
      <c r="N23" s="1"/>
    </row>
    <row r="24" spans="1:14">
      <c r="A24" s="6">
        <v>42868</v>
      </c>
      <c r="B24" s="1" t="s">
        <v>27</v>
      </c>
      <c r="C24" s="1" t="s">
        <v>43</v>
      </c>
      <c r="D24" s="12">
        <v>129</v>
      </c>
      <c r="E24" s="1"/>
      <c r="F24" s="37">
        <v>287142734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3930.3199999999993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5566.15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D32-D29</f>
        <v>1635.8300000000004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408.9575000000001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168.9575000000001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49"/>
  <sheetViews>
    <sheetView zoomScaleNormal="100" workbookViewId="0">
      <selection activeCell="J41" sqref="J4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567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42889</v>
      </c>
      <c r="B3" s="7" t="s">
        <v>6</v>
      </c>
      <c r="C3" s="1" t="s">
        <v>359</v>
      </c>
      <c r="D3" s="8">
        <v>1159.3499999999999</v>
      </c>
      <c r="E3" s="9"/>
      <c r="F3" s="45" t="s">
        <v>568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42889</v>
      </c>
      <c r="B4" s="7" t="s">
        <v>12</v>
      </c>
      <c r="C4" s="1" t="s">
        <v>13</v>
      </c>
      <c r="D4" s="12">
        <v>103.72</v>
      </c>
      <c r="E4" s="9"/>
      <c r="F4" s="42" t="s">
        <v>569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42889</v>
      </c>
      <c r="B5" s="7" t="s">
        <v>18</v>
      </c>
      <c r="C5" s="1" t="s">
        <v>19</v>
      </c>
      <c r="D5" s="12">
        <v>259.58</v>
      </c>
      <c r="E5" s="12"/>
      <c r="F5">
        <v>113769168</v>
      </c>
      <c r="G5" s="11"/>
      <c r="H5" s="9"/>
      <c r="I5" s="11"/>
      <c r="J5" s="11"/>
      <c r="K5" s="11"/>
      <c r="L5" s="11"/>
      <c r="M5" s="11"/>
      <c r="N5" s="11"/>
    </row>
    <row r="6" spans="1:14">
      <c r="A6" s="6">
        <v>42902</v>
      </c>
      <c r="B6" s="7" t="s">
        <v>155</v>
      </c>
      <c r="C6" s="1" t="s">
        <v>16</v>
      </c>
      <c r="D6" s="12">
        <v>61</v>
      </c>
      <c r="E6" s="12"/>
      <c r="F6" t="s">
        <v>570</v>
      </c>
      <c r="G6" s="11"/>
      <c r="H6" s="11"/>
      <c r="I6" s="11"/>
      <c r="J6" s="11"/>
      <c r="K6" s="11"/>
      <c r="L6" s="11"/>
      <c r="M6" s="11"/>
      <c r="N6" s="11"/>
    </row>
    <row r="7" spans="1:14">
      <c r="A7" s="6" t="s">
        <v>9</v>
      </c>
      <c r="B7" s="7" t="s">
        <v>21</v>
      </c>
      <c r="C7" s="1" t="s">
        <v>518</v>
      </c>
      <c r="D7" s="12">
        <v>0</v>
      </c>
      <c r="E7" s="9"/>
      <c r="F7" s="36"/>
      <c r="G7" s="16"/>
      <c r="H7" s="7"/>
      <c r="I7" s="7"/>
      <c r="J7" s="7"/>
      <c r="K7" s="7"/>
      <c r="L7" s="7"/>
      <c r="M7" s="7"/>
      <c r="N7" s="7"/>
    </row>
    <row r="8" spans="1:14">
      <c r="A8" s="6">
        <v>42901</v>
      </c>
      <c r="B8" s="7" t="s">
        <v>21</v>
      </c>
      <c r="C8" s="1" t="s">
        <v>23</v>
      </c>
      <c r="D8" s="12">
        <v>293.8</v>
      </c>
      <c r="E8" s="9"/>
      <c r="F8" s="18" t="s">
        <v>571</v>
      </c>
      <c r="G8" s="1"/>
      <c r="H8" s="1"/>
      <c r="I8" s="1"/>
      <c r="J8" s="1"/>
      <c r="K8" s="1"/>
      <c r="L8" s="1"/>
      <c r="M8" s="1"/>
      <c r="N8" s="1"/>
    </row>
    <row r="9" spans="1:14">
      <c r="A9" s="6">
        <v>42889</v>
      </c>
      <c r="B9" s="7" t="s">
        <v>21</v>
      </c>
      <c r="C9" s="1" t="s">
        <v>25</v>
      </c>
      <c r="D9" s="12">
        <v>30.25</v>
      </c>
      <c r="E9" s="16"/>
      <c r="F9" s="45" t="s">
        <v>572</v>
      </c>
      <c r="G9" s="11"/>
      <c r="H9" s="11"/>
      <c r="I9" s="11"/>
      <c r="J9" s="11"/>
      <c r="K9" s="11"/>
      <c r="L9" s="11"/>
      <c r="M9" s="11"/>
      <c r="N9" s="11"/>
    </row>
    <row r="10" spans="1:14">
      <c r="A10" s="6">
        <v>42902</v>
      </c>
      <c r="B10" s="7" t="s">
        <v>21</v>
      </c>
      <c r="C10" s="1" t="s">
        <v>209</v>
      </c>
      <c r="D10" s="12">
        <v>494.14</v>
      </c>
      <c r="E10" s="16"/>
      <c r="F10" s="19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42901</v>
      </c>
      <c r="B11" s="7" t="s">
        <v>21</v>
      </c>
      <c r="C11" s="1" t="s">
        <v>548</v>
      </c>
      <c r="D11" s="12">
        <v>297</v>
      </c>
      <c r="E11" s="16"/>
      <c r="F11" s="18" t="s">
        <v>573</v>
      </c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42902</v>
      </c>
      <c r="B12" s="7" t="s">
        <v>105</v>
      </c>
      <c r="C12" s="1" t="s">
        <v>186</v>
      </c>
      <c r="D12" s="12">
        <v>53.1</v>
      </c>
      <c r="E12" s="12"/>
      <c r="F12" s="18" t="s">
        <v>574</v>
      </c>
      <c r="G12" s="35"/>
      <c r="H12" s="1"/>
      <c r="I12" s="1"/>
      <c r="J12" s="1"/>
      <c r="K12" s="1"/>
      <c r="L12" s="1"/>
      <c r="M12" s="1"/>
      <c r="N12" s="1"/>
    </row>
    <row r="13" spans="1:14">
      <c r="A13" s="6">
        <v>42902</v>
      </c>
      <c r="B13" s="7" t="s">
        <v>27</v>
      </c>
      <c r="C13" s="1" t="s">
        <v>28</v>
      </c>
      <c r="D13" s="12">
        <v>57.95</v>
      </c>
      <c r="E13" s="9"/>
      <c r="F13" s="44" t="s">
        <v>575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6" t="s">
        <v>9</v>
      </c>
      <c r="B14" s="7" t="s">
        <v>27</v>
      </c>
      <c r="C14" s="1" t="s">
        <v>333</v>
      </c>
      <c r="D14" s="12">
        <v>0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31</v>
      </c>
      <c r="C15" s="1" t="s">
        <v>486</v>
      </c>
      <c r="D15" s="12">
        <v>131.29</v>
      </c>
      <c r="E15" s="9"/>
      <c r="F15" s="18"/>
      <c r="G15" s="7"/>
      <c r="H15" s="7"/>
      <c r="I15" s="7"/>
      <c r="J15" s="7"/>
      <c r="K15" s="7"/>
      <c r="L15" s="7"/>
      <c r="M15" s="7"/>
      <c r="N15" s="7"/>
    </row>
    <row r="16" spans="1:14">
      <c r="A16" s="6">
        <v>42912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6">
        <v>42912</v>
      </c>
      <c r="B17" s="7" t="s">
        <v>367</v>
      </c>
      <c r="C17" s="1" t="s">
        <v>35</v>
      </c>
      <c r="D17" s="12">
        <v>161</v>
      </c>
      <c r="E17" s="9"/>
      <c r="F17" s="17" t="s">
        <v>576</v>
      </c>
      <c r="G17" s="7"/>
      <c r="H17" s="7"/>
      <c r="I17" s="7"/>
      <c r="J17" s="7"/>
      <c r="K17" s="7"/>
      <c r="L17" s="7"/>
      <c r="M17" s="7"/>
      <c r="N17" s="7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42889</v>
      </c>
      <c r="B21" s="1" t="s">
        <v>45</v>
      </c>
      <c r="C21" s="1" t="s">
        <v>258</v>
      </c>
      <c r="D21" s="12">
        <v>0</v>
      </c>
      <c r="E21" s="1"/>
      <c r="F21" s="18" t="s">
        <v>577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42902</v>
      </c>
      <c r="B22" s="1" t="s">
        <v>45</v>
      </c>
      <c r="C22" s="1" t="s">
        <v>46</v>
      </c>
      <c r="D22" s="12">
        <v>0</v>
      </c>
      <c r="E22" s="1"/>
      <c r="F22" s="18" t="s">
        <v>578</v>
      </c>
      <c r="G22" s="1"/>
      <c r="H22" s="1"/>
      <c r="I22" s="1"/>
      <c r="J22" s="1"/>
      <c r="K22" s="1"/>
      <c r="L22" s="1"/>
      <c r="M22" s="1"/>
      <c r="N22" s="1"/>
    </row>
    <row r="23" spans="1:14">
      <c r="A23" s="43">
        <v>42902</v>
      </c>
      <c r="B23" s="1" t="s">
        <v>48</v>
      </c>
      <c r="C23" s="1" t="s">
        <v>49</v>
      </c>
      <c r="D23" s="12">
        <v>369</v>
      </c>
      <c r="E23" s="1"/>
      <c r="F23" s="45"/>
      <c r="H23" s="1"/>
      <c r="I23" s="1"/>
      <c r="J23" s="1"/>
      <c r="K23" s="1"/>
      <c r="L23" s="1"/>
      <c r="M23" s="1"/>
      <c r="N23" s="1"/>
    </row>
    <row r="24" spans="1:14">
      <c r="A24" s="6">
        <v>42902</v>
      </c>
      <c r="B24" s="1" t="s">
        <v>27</v>
      </c>
      <c r="C24" s="1" t="s">
        <v>43</v>
      </c>
      <c r="D24" s="12">
        <v>160</v>
      </c>
      <c r="E24" s="1"/>
      <c r="F24" s="37">
        <v>290671349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3914.8399999999992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5566.15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1951.3100000000004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487.8275000000001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247.8275000000001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579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42917</v>
      </c>
      <c r="B3" s="7" t="s">
        <v>6</v>
      </c>
      <c r="C3" s="1" t="s">
        <v>359</v>
      </c>
      <c r="D3" s="8">
        <v>1159.3499999999999</v>
      </c>
      <c r="E3" s="9"/>
      <c r="F3" s="45" t="s">
        <v>580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42917</v>
      </c>
      <c r="B4" s="7" t="s">
        <v>12</v>
      </c>
      <c r="C4" s="1" t="s">
        <v>13</v>
      </c>
      <c r="D4" s="12">
        <v>103.72</v>
      </c>
      <c r="E4" s="9"/>
      <c r="F4" s="42"/>
      <c r="G4" s="11"/>
      <c r="H4" s="11"/>
      <c r="I4" s="11"/>
      <c r="J4" s="11"/>
      <c r="K4" s="11"/>
      <c r="L4" s="11"/>
      <c r="M4" s="11"/>
      <c r="N4" s="11"/>
    </row>
    <row r="5" spans="1:14">
      <c r="A5" s="6">
        <v>42917</v>
      </c>
      <c r="B5" s="7" t="s">
        <v>18</v>
      </c>
      <c r="C5" s="1" t="s">
        <v>19</v>
      </c>
      <c r="D5" s="12">
        <v>259.58</v>
      </c>
      <c r="E5" s="12"/>
      <c r="F5">
        <v>115148728</v>
      </c>
      <c r="G5" s="11"/>
      <c r="H5" s="9"/>
      <c r="I5" s="11"/>
      <c r="J5" s="11"/>
      <c r="K5" s="11"/>
      <c r="L5" s="11"/>
      <c r="M5" s="11"/>
      <c r="N5" s="11"/>
    </row>
    <row r="6" spans="1:14">
      <c r="A6" s="6">
        <v>42927</v>
      </c>
      <c r="B6" s="7" t="s">
        <v>581</v>
      </c>
      <c r="C6" s="1" t="s">
        <v>582</v>
      </c>
      <c r="D6" s="12">
        <v>125.34</v>
      </c>
      <c r="E6" s="9"/>
      <c r="F6" s="18" t="s">
        <v>583</v>
      </c>
      <c r="G6" s="7"/>
      <c r="H6" s="7"/>
      <c r="I6" s="7"/>
      <c r="J6" s="7"/>
      <c r="K6" s="7"/>
      <c r="L6" s="7"/>
      <c r="M6" s="7"/>
      <c r="N6" s="7"/>
    </row>
    <row r="7" spans="1:14">
      <c r="A7" s="6">
        <v>42917</v>
      </c>
      <c r="B7" s="7" t="s">
        <v>155</v>
      </c>
      <c r="C7" s="1" t="s">
        <v>16</v>
      </c>
      <c r="D7" s="12">
        <v>61</v>
      </c>
      <c r="E7" s="12"/>
      <c r="F7" t="s">
        <v>584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518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42930</v>
      </c>
      <c r="B9" s="7" t="s">
        <v>21</v>
      </c>
      <c r="C9" s="1" t="s">
        <v>23</v>
      </c>
      <c r="D9" s="12">
        <v>293.8</v>
      </c>
      <c r="E9" s="9"/>
      <c r="F9" s="18" t="s">
        <v>585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45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42930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42930</v>
      </c>
      <c r="B12" s="7" t="s">
        <v>21</v>
      </c>
      <c r="C12" s="1" t="s">
        <v>548</v>
      </c>
      <c r="D12" s="12">
        <v>297</v>
      </c>
      <c r="E12" s="16"/>
      <c r="F12" s="18" t="s">
        <v>586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42930</v>
      </c>
      <c r="B13" s="7" t="s">
        <v>105</v>
      </c>
      <c r="C13" s="1" t="s">
        <v>186</v>
      </c>
      <c r="D13" s="12">
        <v>53.1</v>
      </c>
      <c r="E13" s="12"/>
      <c r="F13" s="18" t="s">
        <v>587</v>
      </c>
      <c r="G13" s="35"/>
      <c r="H13" s="1"/>
      <c r="I13" s="1"/>
      <c r="J13" s="1"/>
      <c r="K13" s="1"/>
      <c r="L13" s="1"/>
      <c r="M13" s="1"/>
      <c r="N13" s="1"/>
    </row>
    <row r="14" spans="1:14">
      <c r="A14" s="6">
        <v>42930</v>
      </c>
      <c r="B14" s="7" t="s">
        <v>27</v>
      </c>
      <c r="C14" s="1" t="s">
        <v>28</v>
      </c>
      <c r="D14" s="12">
        <v>57.95</v>
      </c>
      <c r="E14" s="9"/>
      <c r="F14" s="44" t="s">
        <v>588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93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42930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6"/>
      <c r="B17" s="7" t="s">
        <v>367</v>
      </c>
      <c r="C17" s="1" t="s">
        <v>35</v>
      </c>
      <c r="D17" s="12">
        <v>161</v>
      </c>
      <c r="E17" s="9"/>
      <c r="F17" s="17"/>
      <c r="G17" s="7"/>
      <c r="H17" s="7"/>
      <c r="I17" s="7"/>
      <c r="J17" s="7"/>
      <c r="K17" s="7"/>
      <c r="L17" s="7"/>
      <c r="M17" s="7"/>
      <c r="N17" s="7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42917</v>
      </c>
      <c r="B21" s="1" t="s">
        <v>45</v>
      </c>
      <c r="C21" s="1" t="s">
        <v>258</v>
      </c>
      <c r="D21" s="12">
        <v>0</v>
      </c>
      <c r="E21" s="1"/>
      <c r="F21" s="18" t="s">
        <v>589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42917</v>
      </c>
      <c r="B22" s="1" t="s">
        <v>45</v>
      </c>
      <c r="C22" s="1" t="s">
        <v>46</v>
      </c>
      <c r="D22" s="12">
        <v>0</v>
      </c>
      <c r="E22" s="1"/>
      <c r="F22" s="18" t="s">
        <v>590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42930</v>
      </c>
      <c r="B23" s="1" t="s">
        <v>48</v>
      </c>
      <c r="C23" s="1" t="s">
        <v>49</v>
      </c>
      <c r="D23" s="12">
        <v>369</v>
      </c>
      <c r="E23" s="1"/>
      <c r="F23" s="45">
        <v>6590</v>
      </c>
      <c r="H23" s="1"/>
      <c r="I23" s="1"/>
      <c r="J23" s="1"/>
      <c r="K23" s="1"/>
      <c r="L23" s="1"/>
      <c r="M23" s="1"/>
      <c r="N23" s="1"/>
    </row>
    <row r="24" spans="1:14">
      <c r="A24" s="6">
        <v>42930</v>
      </c>
      <c r="B24" s="1" t="s">
        <v>27</v>
      </c>
      <c r="C24" s="1" t="s">
        <v>43</v>
      </c>
      <c r="D24" s="12">
        <v>160</v>
      </c>
      <c r="E24" s="1"/>
      <c r="F24" s="37">
        <v>293610518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4001.8899999999994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2212.1100000000006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553.02750000000015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313.02750000000015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591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42949</v>
      </c>
      <c r="B3" s="7" t="s">
        <v>6</v>
      </c>
      <c r="C3" s="1" t="s">
        <v>359</v>
      </c>
      <c r="D3" s="8">
        <v>1159.3499999999999</v>
      </c>
      <c r="E3" s="9"/>
      <c r="F3" s="45" t="s">
        <v>592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42949</v>
      </c>
      <c r="B4" s="7" t="s">
        <v>12</v>
      </c>
      <c r="C4" s="1" t="s">
        <v>13</v>
      </c>
      <c r="D4" s="12">
        <v>130</v>
      </c>
      <c r="E4" s="9"/>
      <c r="F4" s="42" t="s">
        <v>593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42949</v>
      </c>
      <c r="B5" s="7" t="s">
        <v>18</v>
      </c>
      <c r="C5" s="1" t="s">
        <v>19</v>
      </c>
      <c r="D5" s="12">
        <v>259.58</v>
      </c>
      <c r="E5" s="12"/>
      <c r="F5">
        <v>116730859</v>
      </c>
      <c r="G5" s="11"/>
      <c r="H5" s="9"/>
      <c r="I5" s="11"/>
      <c r="J5" s="11"/>
      <c r="K5" s="11"/>
      <c r="L5" s="11"/>
      <c r="M5" s="11"/>
      <c r="N5" s="11"/>
    </row>
    <row r="6" spans="1:14">
      <c r="A6" s="6">
        <v>42958</v>
      </c>
      <c r="B6" s="7" t="s">
        <v>581</v>
      </c>
      <c r="C6" s="1" t="s">
        <v>582</v>
      </c>
      <c r="D6" s="12">
        <v>125.34</v>
      </c>
      <c r="E6" s="9"/>
      <c r="F6" s="18" t="s">
        <v>594</v>
      </c>
      <c r="G6" s="7"/>
      <c r="H6" s="7"/>
      <c r="I6" s="7"/>
      <c r="J6" s="7"/>
      <c r="K6" s="7"/>
      <c r="L6" s="7"/>
      <c r="M6" s="7"/>
      <c r="N6" s="7"/>
    </row>
    <row r="7" spans="1:14">
      <c r="A7" s="6">
        <v>42958</v>
      </c>
      <c r="B7" s="7" t="s">
        <v>155</v>
      </c>
      <c r="C7" s="1" t="s">
        <v>16</v>
      </c>
      <c r="D7" s="12">
        <v>61</v>
      </c>
      <c r="E7" s="12"/>
      <c r="F7" t="s">
        <v>595</v>
      </c>
      <c r="G7" s="11"/>
      <c r="H7" s="11"/>
      <c r="I7" s="11"/>
      <c r="J7" s="11"/>
      <c r="K7" s="11"/>
      <c r="L7" s="11"/>
      <c r="M7" s="11"/>
      <c r="N7" s="11"/>
    </row>
    <row r="8" spans="1:14">
      <c r="A8" s="6">
        <v>42960</v>
      </c>
      <c r="B8" s="7" t="s">
        <v>21</v>
      </c>
      <c r="C8" s="1" t="s">
        <v>596</v>
      </c>
      <c r="D8" s="12">
        <v>0</v>
      </c>
      <c r="E8" s="9"/>
      <c r="F8" s="36">
        <v>4393970</v>
      </c>
      <c r="G8" s="16"/>
      <c r="H8" s="7"/>
      <c r="I8" s="7"/>
      <c r="J8" s="7"/>
      <c r="K8" s="7"/>
      <c r="L8" s="7"/>
      <c r="M8" s="7"/>
      <c r="N8" s="7"/>
    </row>
    <row r="9" spans="1:14">
      <c r="A9" s="6">
        <v>42958</v>
      </c>
      <c r="B9" s="7" t="s">
        <v>21</v>
      </c>
      <c r="C9" s="1" t="s">
        <v>23</v>
      </c>
      <c r="D9" s="12">
        <v>293.8</v>
      </c>
      <c r="E9" s="9"/>
      <c r="F9" s="18" t="s">
        <v>597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42958</v>
      </c>
      <c r="B10" s="7" t="s">
        <v>21</v>
      </c>
      <c r="C10" s="1" t="s">
        <v>25</v>
      </c>
      <c r="D10" s="12">
        <v>30.25</v>
      </c>
      <c r="E10" s="16"/>
      <c r="F10" s="45" t="s">
        <v>598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42958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42958</v>
      </c>
      <c r="B12" s="7" t="s">
        <v>21</v>
      </c>
      <c r="C12" s="1" t="s">
        <v>548</v>
      </c>
      <c r="D12" s="12">
        <v>297</v>
      </c>
      <c r="E12" s="16"/>
      <c r="F12" s="18" t="s">
        <v>599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42958</v>
      </c>
      <c r="B13" s="7" t="s">
        <v>105</v>
      </c>
      <c r="C13" s="1" t="s">
        <v>186</v>
      </c>
      <c r="D13" s="12">
        <v>53.1</v>
      </c>
      <c r="E13" s="12"/>
      <c r="F13" s="18" t="s">
        <v>600</v>
      </c>
      <c r="G13" s="35"/>
      <c r="H13" s="1"/>
      <c r="I13" s="1"/>
      <c r="J13" s="1"/>
      <c r="K13" s="1"/>
      <c r="L13" s="1"/>
      <c r="M13" s="1"/>
      <c r="N13" s="1"/>
    </row>
    <row r="14" spans="1:14">
      <c r="A14" s="6">
        <v>42958</v>
      </c>
      <c r="B14" s="7" t="s">
        <v>27</v>
      </c>
      <c r="C14" s="1" t="s">
        <v>28</v>
      </c>
      <c r="D14" s="12">
        <v>57.95</v>
      </c>
      <c r="E14" s="9"/>
      <c r="F14" s="44" t="s">
        <v>601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93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42973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6">
        <v>42973</v>
      </c>
      <c r="B17" s="7" t="s">
        <v>367</v>
      </c>
      <c r="C17" s="1" t="s">
        <v>35</v>
      </c>
      <c r="D17" s="12">
        <v>161</v>
      </c>
      <c r="E17" s="9"/>
      <c r="F17" s="17" t="s">
        <v>602</v>
      </c>
      <c r="G17" s="7"/>
      <c r="H17" s="7"/>
      <c r="I17" s="7"/>
      <c r="J17" s="7"/>
      <c r="K17" s="7"/>
      <c r="L17" s="7"/>
      <c r="M17" s="7"/>
      <c r="N17" s="7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42949</v>
      </c>
      <c r="B21" s="1" t="s">
        <v>45</v>
      </c>
      <c r="C21" s="1" t="s">
        <v>258</v>
      </c>
      <c r="D21" s="12">
        <v>0</v>
      </c>
      <c r="E21" s="1"/>
      <c r="F21" s="18" t="s">
        <v>603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42949</v>
      </c>
      <c r="B22" s="1" t="s">
        <v>45</v>
      </c>
      <c r="C22" s="1" t="s">
        <v>46</v>
      </c>
      <c r="D22" s="12">
        <v>0</v>
      </c>
      <c r="E22" s="1"/>
      <c r="F22" s="18" t="s">
        <v>604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42958</v>
      </c>
      <c r="B23" s="1" t="s">
        <v>48</v>
      </c>
      <c r="C23" s="1" t="s">
        <v>49</v>
      </c>
      <c r="D23" s="12">
        <v>369</v>
      </c>
      <c r="E23" s="1"/>
      <c r="F23" s="45">
        <v>351197</v>
      </c>
      <c r="H23" s="1"/>
      <c r="I23" s="1"/>
      <c r="J23" s="1"/>
      <c r="K23" s="1"/>
      <c r="L23" s="1"/>
      <c r="M23" s="1"/>
      <c r="N23" s="1"/>
    </row>
    <row r="24" spans="1:14">
      <c r="A24" s="6">
        <v>42960</v>
      </c>
      <c r="B24" s="1" t="s">
        <v>27</v>
      </c>
      <c r="C24" s="1" t="s">
        <v>43</v>
      </c>
      <c r="D24" s="12">
        <v>160</v>
      </c>
      <c r="E24" s="1"/>
      <c r="F24" s="37">
        <v>296675515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4028.1699999999992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2185.8300000000008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546.45750000000021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306.45750000000021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605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42978</v>
      </c>
      <c r="B3" s="7" t="s">
        <v>6</v>
      </c>
      <c r="C3" s="1" t="s">
        <v>359</v>
      </c>
      <c r="D3" s="8">
        <v>1159.3499999999999</v>
      </c>
      <c r="E3" s="9"/>
      <c r="F3" s="45" t="s">
        <v>606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42978</v>
      </c>
      <c r="B4" s="7" t="s">
        <v>12</v>
      </c>
      <c r="C4" s="1" t="s">
        <v>13</v>
      </c>
      <c r="D4" s="12">
        <v>130</v>
      </c>
      <c r="E4" s="9"/>
      <c r="F4" s="42" t="s">
        <v>607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42984</v>
      </c>
      <c r="B5" s="7" t="s">
        <v>18</v>
      </c>
      <c r="C5" s="1" t="s">
        <v>19</v>
      </c>
      <c r="D5" s="12">
        <v>259.58</v>
      </c>
      <c r="E5" s="12"/>
      <c r="F5">
        <v>118510180</v>
      </c>
      <c r="G5" s="11"/>
      <c r="H5" s="9"/>
      <c r="I5" s="11"/>
      <c r="J5" s="11"/>
      <c r="K5" s="11"/>
      <c r="L5" s="11"/>
      <c r="M5" s="11"/>
      <c r="N5" s="11"/>
    </row>
    <row r="6" spans="1:14">
      <c r="A6" s="6">
        <v>42987</v>
      </c>
      <c r="B6" s="7" t="s">
        <v>581</v>
      </c>
      <c r="C6" s="1" t="s">
        <v>582</v>
      </c>
      <c r="D6" s="12">
        <v>125.34</v>
      </c>
      <c r="E6" s="9"/>
      <c r="F6" s="18" t="s">
        <v>608</v>
      </c>
      <c r="G6" s="7"/>
      <c r="H6" s="7"/>
      <c r="I6" s="7"/>
      <c r="J6" s="7"/>
      <c r="K6" s="7"/>
      <c r="L6" s="7"/>
      <c r="M6" s="7"/>
      <c r="N6" s="7"/>
    </row>
    <row r="7" spans="1:14">
      <c r="A7" s="6">
        <v>42987</v>
      </c>
      <c r="B7" s="7" t="s">
        <v>155</v>
      </c>
      <c r="C7" s="1" t="s">
        <v>16</v>
      </c>
      <c r="D7" s="12">
        <v>61</v>
      </c>
      <c r="E7" s="12"/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596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42987</v>
      </c>
      <c r="B9" s="7" t="s">
        <v>21</v>
      </c>
      <c r="C9" s="1" t="s">
        <v>23</v>
      </c>
      <c r="D9" s="12">
        <v>293.8</v>
      </c>
      <c r="E9" s="9"/>
      <c r="F9" s="18" t="s">
        <v>609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45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42987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42987</v>
      </c>
      <c r="B12" s="7" t="s">
        <v>21</v>
      </c>
      <c r="C12" s="1" t="s">
        <v>548</v>
      </c>
      <c r="D12" s="12">
        <v>297</v>
      </c>
      <c r="E12" s="16"/>
      <c r="F12" s="18" t="s">
        <v>610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43001</v>
      </c>
      <c r="B13" s="7" t="s">
        <v>105</v>
      </c>
      <c r="C13" s="1" t="s">
        <v>186</v>
      </c>
      <c r="D13" s="12">
        <v>53.1</v>
      </c>
      <c r="E13" s="12"/>
      <c r="F13" s="18"/>
      <c r="G13" s="35" t="s">
        <v>611</v>
      </c>
      <c r="H13" s="1"/>
      <c r="I13" s="1"/>
      <c r="J13" s="1"/>
      <c r="K13" s="1"/>
      <c r="L13" s="1"/>
      <c r="M13" s="1"/>
      <c r="N13" s="1"/>
    </row>
    <row r="14" spans="1:14">
      <c r="A14" s="6">
        <v>42987</v>
      </c>
      <c r="B14" s="7" t="s">
        <v>27</v>
      </c>
      <c r="C14" s="1" t="s">
        <v>28</v>
      </c>
      <c r="D14" s="12">
        <v>72</v>
      </c>
      <c r="E14" s="9"/>
      <c r="F14" s="44" t="s">
        <v>612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93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43001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6">
        <v>43001</v>
      </c>
      <c r="B17" s="7" t="s">
        <v>367</v>
      </c>
      <c r="C17" s="1" t="s">
        <v>35</v>
      </c>
      <c r="D17" s="12">
        <v>161</v>
      </c>
      <c r="E17" s="9"/>
      <c r="F17" s="17" t="s">
        <v>613</v>
      </c>
      <c r="G17" s="7"/>
      <c r="H17" s="7"/>
      <c r="I17" s="7"/>
      <c r="J17" s="7"/>
      <c r="K17" s="7"/>
      <c r="L17" s="7"/>
      <c r="M17" s="7"/>
      <c r="N17" s="7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42987</v>
      </c>
      <c r="B21" s="1" t="s">
        <v>45</v>
      </c>
      <c r="C21" s="1" t="s">
        <v>258</v>
      </c>
      <c r="D21" s="12">
        <v>0</v>
      </c>
      <c r="E21" s="1"/>
      <c r="F21" s="18" t="s">
        <v>614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42987</v>
      </c>
      <c r="B22" s="1" t="s">
        <v>45</v>
      </c>
      <c r="C22" s="1" t="s">
        <v>46</v>
      </c>
      <c r="D22" s="12">
        <v>0</v>
      </c>
      <c r="E22" s="1"/>
      <c r="F22" s="18" t="s">
        <v>615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42987</v>
      </c>
      <c r="B23" s="1" t="s">
        <v>48</v>
      </c>
      <c r="C23" s="1" t="s">
        <v>49</v>
      </c>
      <c r="D23" s="12">
        <v>369</v>
      </c>
      <c r="E23" s="1"/>
      <c r="F23" s="45">
        <v>688164</v>
      </c>
      <c r="H23" s="1"/>
      <c r="I23" s="1"/>
      <c r="J23" s="1"/>
      <c r="K23" s="1"/>
      <c r="L23" s="1"/>
      <c r="M23" s="1"/>
      <c r="N23" s="1"/>
    </row>
    <row r="24" spans="1:14">
      <c r="A24" s="6">
        <v>42987</v>
      </c>
      <c r="B24" s="1" t="s">
        <v>27</v>
      </c>
      <c r="C24" s="1" t="s">
        <v>43</v>
      </c>
      <c r="D24" s="12">
        <v>184</v>
      </c>
      <c r="E24" s="1"/>
      <c r="F24" s="37">
        <v>299570370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4066.2199999999993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2147.7800000000007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536.94500000000016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296.94500000000016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616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43011</v>
      </c>
      <c r="B3" s="7" t="s">
        <v>6</v>
      </c>
      <c r="C3" s="1" t="s">
        <v>359</v>
      </c>
      <c r="D3" s="8">
        <v>1159.3499999999999</v>
      </c>
      <c r="E3" s="9"/>
      <c r="F3" s="45" t="s">
        <v>617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43011</v>
      </c>
      <c r="B4" s="7" t="s">
        <v>12</v>
      </c>
      <c r="C4" s="1" t="s">
        <v>13</v>
      </c>
      <c r="D4" s="12">
        <v>135</v>
      </c>
      <c r="E4" s="9"/>
      <c r="F4" s="42" t="s">
        <v>618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43014</v>
      </c>
      <c r="B5" s="7" t="s">
        <v>18</v>
      </c>
      <c r="C5" s="1" t="s">
        <v>19</v>
      </c>
      <c r="D5" s="12">
        <v>259.58</v>
      </c>
      <c r="E5" s="12"/>
      <c r="F5">
        <v>120031070</v>
      </c>
      <c r="G5" s="11"/>
      <c r="H5" s="9"/>
      <c r="I5" s="11"/>
      <c r="J5" s="11"/>
      <c r="K5" s="11"/>
      <c r="L5" s="11"/>
      <c r="M5" s="11"/>
      <c r="N5" s="11"/>
    </row>
    <row r="6" spans="1:14">
      <c r="A6" s="6">
        <v>43014</v>
      </c>
      <c r="B6" s="7" t="s">
        <v>581</v>
      </c>
      <c r="C6" s="1" t="s">
        <v>582</v>
      </c>
      <c r="D6" s="12">
        <v>125.34</v>
      </c>
      <c r="E6" s="9"/>
      <c r="F6" s="18" t="s">
        <v>619</v>
      </c>
      <c r="G6" s="7"/>
      <c r="H6" s="7"/>
      <c r="I6" s="7"/>
      <c r="J6" s="7"/>
      <c r="K6" s="7"/>
      <c r="L6" s="7"/>
      <c r="M6" s="7"/>
      <c r="N6" s="7"/>
    </row>
    <row r="7" spans="1:14">
      <c r="A7" s="6">
        <v>43028</v>
      </c>
      <c r="B7" s="7" t="s">
        <v>155</v>
      </c>
      <c r="C7" s="1" t="s">
        <v>16</v>
      </c>
      <c r="D7" s="12">
        <v>61</v>
      </c>
      <c r="E7" s="12"/>
      <c r="F7" t="s">
        <v>620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596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43014</v>
      </c>
      <c r="B9" s="7" t="s">
        <v>21</v>
      </c>
      <c r="C9" s="1" t="s">
        <v>23</v>
      </c>
      <c r="D9" s="12">
        <v>293.8</v>
      </c>
      <c r="E9" s="9"/>
      <c r="F9" s="18" t="s">
        <v>621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43014</v>
      </c>
      <c r="B10" s="7" t="s">
        <v>21</v>
      </c>
      <c r="C10" s="1" t="s">
        <v>25</v>
      </c>
      <c r="D10" s="12">
        <v>30.25</v>
      </c>
      <c r="E10" s="16"/>
      <c r="F10" s="45" t="s">
        <v>622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43014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43014</v>
      </c>
      <c r="B12" s="7" t="s">
        <v>21</v>
      </c>
      <c r="C12" s="1" t="s">
        <v>548</v>
      </c>
      <c r="D12" s="12">
        <v>297</v>
      </c>
      <c r="E12" s="16"/>
      <c r="F12" s="18" t="s">
        <v>623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43014</v>
      </c>
      <c r="B13" s="7" t="s">
        <v>105</v>
      </c>
      <c r="C13" s="1" t="s">
        <v>186</v>
      </c>
      <c r="D13" s="12">
        <v>53.1</v>
      </c>
      <c r="E13" s="12"/>
      <c r="F13" s="18" t="s">
        <v>624</v>
      </c>
      <c r="G13" s="35"/>
      <c r="H13" s="1"/>
      <c r="I13" s="1"/>
      <c r="J13" s="1"/>
      <c r="K13" s="1"/>
      <c r="L13" s="1"/>
      <c r="M13" s="1"/>
      <c r="N13" s="1"/>
    </row>
    <row r="14" spans="1:14">
      <c r="A14" s="6">
        <v>43028</v>
      </c>
      <c r="B14" s="7" t="s">
        <v>27</v>
      </c>
      <c r="C14" s="1" t="s">
        <v>28</v>
      </c>
      <c r="D14" s="12">
        <v>72</v>
      </c>
      <c r="E14" s="9"/>
      <c r="F14" s="44" t="s">
        <v>625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58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43028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6">
        <v>43028</v>
      </c>
      <c r="B17" s="7" t="s">
        <v>367</v>
      </c>
      <c r="C17" s="1" t="s">
        <v>35</v>
      </c>
      <c r="D17" s="12">
        <v>161</v>
      </c>
      <c r="E17" s="9"/>
      <c r="F17" s="17" t="s">
        <v>626</v>
      </c>
      <c r="G17" s="7"/>
      <c r="H17" s="7"/>
      <c r="I17" s="7"/>
      <c r="J17" s="7"/>
      <c r="K17" s="7"/>
      <c r="L17" s="7"/>
      <c r="M17" s="7"/>
      <c r="N17" s="7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43014</v>
      </c>
      <c r="B21" s="1" t="s">
        <v>45</v>
      </c>
      <c r="C21" s="1" t="s">
        <v>258</v>
      </c>
      <c r="D21" s="12">
        <v>0</v>
      </c>
      <c r="E21" s="1"/>
      <c r="F21" s="18" t="s">
        <v>627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43014</v>
      </c>
      <c r="B22" s="1" t="s">
        <v>45</v>
      </c>
      <c r="C22" s="1" t="s">
        <v>46</v>
      </c>
      <c r="D22" s="12">
        <v>25</v>
      </c>
      <c r="E22" s="1"/>
      <c r="F22" s="18" t="s">
        <v>628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43014</v>
      </c>
      <c r="B23" s="1" t="s">
        <v>48</v>
      </c>
      <c r="C23" s="1" t="s">
        <v>49</v>
      </c>
      <c r="D23" s="12">
        <v>369</v>
      </c>
      <c r="E23" s="1"/>
      <c r="F23" s="45">
        <v>322017</v>
      </c>
      <c r="H23" s="1"/>
      <c r="I23" s="1"/>
      <c r="J23" s="1"/>
      <c r="K23" s="1"/>
      <c r="L23" s="1"/>
      <c r="M23" s="1"/>
      <c r="N23" s="1"/>
    </row>
    <row r="24" spans="1:14">
      <c r="A24" s="6">
        <v>43014</v>
      </c>
      <c r="B24" s="1" t="s">
        <v>27</v>
      </c>
      <c r="C24" s="1" t="s">
        <v>43</v>
      </c>
      <c r="D24" s="12">
        <v>184</v>
      </c>
      <c r="E24" s="1"/>
      <c r="F24" s="37">
        <v>302605111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t="s">
        <v>9</v>
      </c>
      <c r="B26" s="1" t="s">
        <v>38</v>
      </c>
      <c r="C26" s="1" t="s">
        <v>39</v>
      </c>
      <c r="D26" s="23">
        <v>0</v>
      </c>
      <c r="E26" s="1"/>
      <c r="F26" s="49" t="s">
        <v>629</v>
      </c>
      <c r="G26" s="1"/>
      <c r="H26" s="1"/>
      <c r="I26" s="1"/>
      <c r="J26" s="1"/>
      <c r="K26" s="1"/>
      <c r="L26" s="1"/>
      <c r="M26" s="1"/>
      <c r="N26" s="1"/>
    </row>
    <row r="27" spans="1:14">
      <c r="A27" s="6">
        <v>43028</v>
      </c>
      <c r="B27" s="1" t="s">
        <v>34</v>
      </c>
      <c r="C27" s="1" t="s">
        <v>54</v>
      </c>
      <c r="D27" s="12">
        <v>0</v>
      </c>
      <c r="E27" s="1"/>
      <c r="F27" s="18" t="s">
        <v>630</v>
      </c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4061.2199999999993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2152.7800000000007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538.19500000000016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298.19500000000016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631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43041</v>
      </c>
      <c r="B3" s="7" t="s">
        <v>6</v>
      </c>
      <c r="C3" s="1" t="s">
        <v>359</v>
      </c>
      <c r="D3" s="8">
        <v>1183.5</v>
      </c>
      <c r="E3" s="9"/>
      <c r="F3" s="45" t="s">
        <v>632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43041</v>
      </c>
      <c r="B4" s="7" t="s">
        <v>12</v>
      </c>
      <c r="C4" s="1" t="s">
        <v>13</v>
      </c>
      <c r="D4" s="12">
        <v>135</v>
      </c>
      <c r="E4" s="9"/>
      <c r="F4" s="42" t="s">
        <v>633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43043</v>
      </c>
      <c r="B5" s="7" t="s">
        <v>18</v>
      </c>
      <c r="C5" s="1" t="s">
        <v>19</v>
      </c>
      <c r="D5" s="12">
        <v>259.58</v>
      </c>
      <c r="E5" s="12"/>
      <c r="F5">
        <v>121490023</v>
      </c>
      <c r="G5" s="11"/>
      <c r="H5" s="9"/>
      <c r="I5" s="11"/>
      <c r="J5" s="11"/>
      <c r="K5" s="11"/>
      <c r="L5" s="11"/>
      <c r="M5" s="11"/>
      <c r="N5" s="11"/>
    </row>
    <row r="6" spans="1:14">
      <c r="A6" s="6">
        <v>43043</v>
      </c>
      <c r="B6" s="7" t="s">
        <v>581</v>
      </c>
      <c r="C6" s="1" t="s">
        <v>582</v>
      </c>
      <c r="D6" s="12">
        <v>125.34</v>
      </c>
      <c r="E6" s="9"/>
      <c r="F6" s="18" t="s">
        <v>634</v>
      </c>
      <c r="G6" s="7"/>
      <c r="H6" s="7"/>
      <c r="I6" s="7"/>
      <c r="J6" s="7"/>
      <c r="K6" s="7"/>
      <c r="L6" s="7"/>
      <c r="M6" s="7"/>
      <c r="N6" s="7"/>
    </row>
    <row r="7" spans="1:14">
      <c r="A7" s="6">
        <v>43043</v>
      </c>
      <c r="B7" s="7" t="s">
        <v>155</v>
      </c>
      <c r="C7" s="1" t="s">
        <v>16</v>
      </c>
      <c r="D7" s="12">
        <v>61</v>
      </c>
      <c r="E7" s="12"/>
      <c r="F7" t="s">
        <v>635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596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43043</v>
      </c>
      <c r="B9" s="7" t="s">
        <v>21</v>
      </c>
      <c r="C9" s="1" t="s">
        <v>23</v>
      </c>
      <c r="D9" s="12">
        <v>293.8</v>
      </c>
      <c r="E9" s="9"/>
      <c r="F9" s="18" t="s">
        <v>636</v>
      </c>
      <c r="G9" s="1"/>
      <c r="H9" s="1"/>
      <c r="I9" s="1"/>
      <c r="J9" s="1"/>
      <c r="K9" s="1"/>
      <c r="L9" s="1"/>
      <c r="M9" s="1"/>
      <c r="N9" s="1"/>
    </row>
    <row r="10" spans="1:14">
      <c r="A10" s="6" t="s">
        <v>9</v>
      </c>
      <c r="B10" s="7" t="s">
        <v>21</v>
      </c>
      <c r="C10" s="1" t="s">
        <v>25</v>
      </c>
      <c r="D10" s="12">
        <v>30.25</v>
      </c>
      <c r="E10" s="16"/>
      <c r="F10" s="45"/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43043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43043</v>
      </c>
      <c r="B12" s="7" t="s">
        <v>21</v>
      </c>
      <c r="C12" s="1" t="s">
        <v>548</v>
      </c>
      <c r="D12" s="12">
        <v>297</v>
      </c>
      <c r="E12" s="16"/>
      <c r="F12" s="50">
        <v>25292435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43056</v>
      </c>
      <c r="B13" s="7" t="s">
        <v>105</v>
      </c>
      <c r="C13" s="1" t="s">
        <v>186</v>
      </c>
      <c r="D13" s="12">
        <v>53.1</v>
      </c>
      <c r="E13" s="12"/>
      <c r="F13" s="18" t="s">
        <v>637</v>
      </c>
      <c r="G13" s="35"/>
      <c r="H13" s="1"/>
      <c r="I13" s="1"/>
      <c r="J13" s="1"/>
      <c r="K13" s="1"/>
      <c r="L13" s="1"/>
      <c r="M13" s="1"/>
      <c r="N13" s="1"/>
    </row>
    <row r="14" spans="1:14">
      <c r="A14" s="6">
        <v>43056</v>
      </c>
      <c r="B14" s="7" t="s">
        <v>27</v>
      </c>
      <c r="C14" s="1" t="s">
        <v>28</v>
      </c>
      <c r="D14" s="12">
        <v>72</v>
      </c>
      <c r="E14" s="9"/>
      <c r="F14" s="44" t="s">
        <v>638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58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43061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6">
        <v>43071</v>
      </c>
      <c r="B17" s="7" t="s">
        <v>367</v>
      </c>
      <c r="C17" s="1" t="s">
        <v>35</v>
      </c>
      <c r="D17" s="12">
        <v>161</v>
      </c>
      <c r="E17" s="9"/>
      <c r="F17" s="17" t="s">
        <v>639</v>
      </c>
      <c r="G17" s="7"/>
      <c r="H17" s="7"/>
      <c r="I17" s="7"/>
      <c r="J17" s="7"/>
      <c r="K17" s="7"/>
      <c r="L17" s="7"/>
      <c r="M17" s="7"/>
      <c r="N17" s="7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43043</v>
      </c>
      <c r="B21" s="1" t="s">
        <v>45</v>
      </c>
      <c r="C21" s="1" t="s">
        <v>258</v>
      </c>
      <c r="D21" s="12">
        <v>0</v>
      </c>
      <c r="E21" s="1"/>
      <c r="F21" s="18" t="s">
        <v>640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43043</v>
      </c>
      <c r="B22" s="1" t="s">
        <v>45</v>
      </c>
      <c r="C22" s="1" t="s">
        <v>46</v>
      </c>
      <c r="D22" s="12">
        <v>25</v>
      </c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43043</v>
      </c>
      <c r="B23" s="1" t="s">
        <v>48</v>
      </c>
      <c r="C23" s="1" t="s">
        <v>49</v>
      </c>
      <c r="D23" s="12">
        <v>369</v>
      </c>
      <c r="E23" s="1"/>
      <c r="F23" s="45"/>
      <c r="H23" s="1"/>
      <c r="I23" s="1"/>
      <c r="J23" s="1"/>
      <c r="K23" s="1"/>
      <c r="L23" s="1"/>
      <c r="M23" s="1"/>
      <c r="N23" s="1"/>
    </row>
    <row r="24" spans="1:14">
      <c r="A24" s="6">
        <v>43056</v>
      </c>
      <c r="B24" s="1" t="s">
        <v>27</v>
      </c>
      <c r="C24" s="1" t="s">
        <v>43</v>
      </c>
      <c r="D24" s="12">
        <v>184</v>
      </c>
      <c r="E24" s="1"/>
      <c r="F24" s="37" t="s">
        <v>641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4085.3699999999994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2128.6300000000006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532.15750000000014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292.15750000000014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49"/>
  <sheetViews>
    <sheetView zoomScaleNormal="100" workbookViewId="0">
      <selection activeCell="G31" sqref="G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642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43071</v>
      </c>
      <c r="B3" s="7" t="s">
        <v>6</v>
      </c>
      <c r="C3" s="1" t="s">
        <v>359</v>
      </c>
      <c r="D3" s="8">
        <v>1183.5</v>
      </c>
      <c r="E3" s="9"/>
      <c r="F3" s="45" t="s">
        <v>643</v>
      </c>
      <c r="G3" s="11"/>
      <c r="H3" s="11"/>
      <c r="I3" s="11"/>
      <c r="J3" s="11"/>
      <c r="K3" s="11"/>
      <c r="L3" s="11"/>
      <c r="M3" s="11"/>
      <c r="N3" s="11"/>
    </row>
    <row r="4" spans="1:14">
      <c r="A4" s="6">
        <v>43071</v>
      </c>
      <c r="B4" s="7" t="s">
        <v>12</v>
      </c>
      <c r="C4" s="1" t="s">
        <v>13</v>
      </c>
      <c r="D4" s="12">
        <v>135</v>
      </c>
      <c r="E4" s="9"/>
      <c r="F4" s="42" t="s">
        <v>644</v>
      </c>
      <c r="G4" s="11"/>
      <c r="H4" s="11"/>
      <c r="I4" s="11"/>
      <c r="J4" s="11"/>
      <c r="K4" s="11"/>
      <c r="L4" s="11"/>
      <c r="M4" s="11"/>
      <c r="N4" s="11"/>
    </row>
    <row r="5" spans="1:14">
      <c r="A5" s="6">
        <v>43071</v>
      </c>
      <c r="B5" s="7" t="s">
        <v>18</v>
      </c>
      <c r="C5" s="1" t="s">
        <v>19</v>
      </c>
      <c r="D5" s="12">
        <v>259.58</v>
      </c>
      <c r="E5" s="12"/>
      <c r="F5">
        <v>122882675</v>
      </c>
      <c r="G5" s="11"/>
      <c r="H5" s="9"/>
      <c r="I5" s="11"/>
      <c r="J5" s="11"/>
      <c r="K5" s="11"/>
      <c r="L5" s="11"/>
      <c r="M5" s="11"/>
      <c r="N5" s="11"/>
    </row>
    <row r="6" spans="1:14">
      <c r="A6" s="6">
        <v>43071</v>
      </c>
      <c r="B6" s="7" t="s">
        <v>581</v>
      </c>
      <c r="C6" s="1" t="s">
        <v>582</v>
      </c>
      <c r="D6" s="12">
        <v>125.34</v>
      </c>
      <c r="E6" s="9"/>
      <c r="F6" s="18" t="s">
        <v>645</v>
      </c>
      <c r="G6" s="7"/>
      <c r="H6" s="7"/>
      <c r="I6" s="7"/>
      <c r="J6" s="7"/>
      <c r="K6" s="7"/>
      <c r="L6" s="7"/>
      <c r="M6" s="7"/>
      <c r="N6" s="7"/>
    </row>
    <row r="7" spans="1:14">
      <c r="A7" s="6">
        <v>43071</v>
      </c>
      <c r="B7" s="7" t="s">
        <v>155</v>
      </c>
      <c r="C7" s="1" t="s">
        <v>16</v>
      </c>
      <c r="D7" s="12">
        <v>61</v>
      </c>
      <c r="E7" s="12"/>
      <c r="F7" t="s">
        <v>646</v>
      </c>
      <c r="G7" s="11"/>
      <c r="H7" s="11"/>
      <c r="I7" s="11"/>
      <c r="J7" s="11"/>
      <c r="K7" s="11"/>
      <c r="L7" s="11"/>
      <c r="M7" s="11"/>
      <c r="N7" s="11"/>
    </row>
    <row r="8" spans="1:14">
      <c r="A8" s="6" t="s">
        <v>9</v>
      </c>
      <c r="B8" s="7" t="s">
        <v>21</v>
      </c>
      <c r="C8" s="1" t="s">
        <v>596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6">
        <v>43084</v>
      </c>
      <c r="B9" s="7" t="s">
        <v>21</v>
      </c>
      <c r="C9" s="1" t="s">
        <v>23</v>
      </c>
      <c r="D9" s="12">
        <v>293.8</v>
      </c>
      <c r="E9" s="9"/>
      <c r="F9" s="18" t="s">
        <v>647</v>
      </c>
      <c r="G9" s="1"/>
      <c r="H9" s="1"/>
      <c r="I9" s="1"/>
      <c r="J9" s="1"/>
      <c r="K9" s="1"/>
      <c r="L9" s="1"/>
      <c r="M9" s="1"/>
      <c r="N9" s="1"/>
    </row>
    <row r="10" spans="1:14">
      <c r="A10" s="6">
        <v>43083</v>
      </c>
      <c r="B10" s="7" t="s">
        <v>21</v>
      </c>
      <c r="C10" s="1" t="s">
        <v>25</v>
      </c>
      <c r="D10" s="12">
        <v>30.25</v>
      </c>
      <c r="E10" s="16"/>
      <c r="F10" s="45" t="s">
        <v>648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6">
        <v>43084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6">
        <v>43084</v>
      </c>
      <c r="B12" s="7" t="s">
        <v>21</v>
      </c>
      <c r="C12" s="1" t="s">
        <v>548</v>
      </c>
      <c r="D12" s="12">
        <v>297</v>
      </c>
      <c r="E12" s="16"/>
      <c r="F12" s="50">
        <v>26822421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6">
        <v>43083</v>
      </c>
      <c r="B13" s="7" t="s">
        <v>105</v>
      </c>
      <c r="C13" s="1" t="s">
        <v>186</v>
      </c>
      <c r="D13" s="12">
        <v>53.1</v>
      </c>
      <c r="E13" s="12"/>
      <c r="F13" s="18" t="s">
        <v>649</v>
      </c>
      <c r="G13" s="35"/>
      <c r="H13" s="1"/>
      <c r="I13" s="1"/>
      <c r="J13" s="1"/>
      <c r="K13" s="1"/>
      <c r="L13" s="1"/>
      <c r="M13" s="1"/>
      <c r="N13" s="1"/>
    </row>
    <row r="14" spans="1:14">
      <c r="A14" s="6">
        <v>43083</v>
      </c>
      <c r="B14" s="7" t="s">
        <v>27</v>
      </c>
      <c r="C14" s="1" t="s">
        <v>28</v>
      </c>
      <c r="D14" s="12">
        <v>72</v>
      </c>
      <c r="E14" s="9"/>
      <c r="F14" s="44" t="s">
        <v>650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6" t="s">
        <v>9</v>
      </c>
      <c r="B15" s="7" t="s">
        <v>27</v>
      </c>
      <c r="C15" s="1" t="s">
        <v>333</v>
      </c>
      <c r="D15" s="12">
        <v>58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6">
        <v>43095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6">
        <v>43095</v>
      </c>
      <c r="B17" s="7" t="s">
        <v>367</v>
      </c>
      <c r="C17" s="1" t="s">
        <v>35</v>
      </c>
      <c r="D17" s="12">
        <v>161</v>
      </c>
      <c r="E17" s="9"/>
      <c r="F17" s="17" t="s">
        <v>651</v>
      </c>
      <c r="G17" s="7"/>
      <c r="H17" s="7"/>
      <c r="I17" s="7"/>
      <c r="J17" s="7"/>
      <c r="K17" s="7"/>
      <c r="L17" s="7"/>
      <c r="M17" s="7"/>
      <c r="N17" s="7"/>
    </row>
    <row r="18" spans="1:14">
      <c r="A18" s="1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43071</v>
      </c>
      <c r="B21" s="1" t="s">
        <v>45</v>
      </c>
      <c r="C21" s="1" t="s">
        <v>258</v>
      </c>
      <c r="D21" s="12">
        <v>0</v>
      </c>
      <c r="E21" s="1"/>
      <c r="F21" s="18" t="s">
        <v>652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43071</v>
      </c>
      <c r="B22" s="1" t="s">
        <v>45</v>
      </c>
      <c r="C22" s="1" t="s">
        <v>46</v>
      </c>
      <c r="D22" s="12">
        <v>25</v>
      </c>
      <c r="E22" s="1"/>
      <c r="F22" s="18" t="s">
        <v>653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43071</v>
      </c>
      <c r="B23" s="1" t="s">
        <v>48</v>
      </c>
      <c r="C23" s="1" t="s">
        <v>49</v>
      </c>
      <c r="D23" s="12">
        <v>369</v>
      </c>
      <c r="E23" s="1"/>
      <c r="F23" s="45">
        <v>72357</v>
      </c>
      <c r="H23" s="1"/>
      <c r="I23" s="1"/>
      <c r="J23" s="1"/>
      <c r="K23" s="1"/>
      <c r="L23" s="1"/>
      <c r="M23" s="1"/>
      <c r="N23" s="1"/>
    </row>
    <row r="24" spans="1:14">
      <c r="A24" s="6">
        <v>43083</v>
      </c>
      <c r="B24" s="1" t="s">
        <v>27</v>
      </c>
      <c r="C24" s="1" t="s">
        <v>43</v>
      </c>
      <c r="D24" s="12">
        <v>184</v>
      </c>
      <c r="E24" s="1"/>
      <c r="F24" s="37">
        <v>310436898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s="43">
        <v>43071</v>
      </c>
      <c r="B26" s="1" t="s">
        <v>38</v>
      </c>
      <c r="C26" s="1" t="s">
        <v>39</v>
      </c>
      <c r="D26" s="23">
        <v>0</v>
      </c>
      <c r="E26" s="1"/>
      <c r="F26" s="24" t="s">
        <v>654</v>
      </c>
      <c r="G26" s="1"/>
      <c r="H26" s="1"/>
      <c r="I26" s="1"/>
      <c r="J26" s="1"/>
      <c r="K26" s="1"/>
      <c r="L26" s="1"/>
      <c r="M26" s="1"/>
      <c r="N26" s="1"/>
    </row>
    <row r="27" spans="1:14">
      <c r="A27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4085.3699999999994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2128.6300000000006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532.15750000000014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292.15750000000014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655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1">
        <v>43099</v>
      </c>
      <c r="B3" s="7" t="s">
        <v>6</v>
      </c>
      <c r="C3" s="1" t="s">
        <v>359</v>
      </c>
      <c r="D3" s="8">
        <v>1183.5</v>
      </c>
      <c r="E3" s="9"/>
      <c r="F3" s="45" t="s">
        <v>656</v>
      </c>
      <c r="G3" s="11"/>
      <c r="H3" s="11"/>
      <c r="I3" s="11"/>
      <c r="J3" s="11"/>
      <c r="K3" s="11"/>
      <c r="L3" s="11"/>
      <c r="M3" s="11"/>
      <c r="N3" s="11"/>
    </row>
    <row r="4" spans="1:14">
      <c r="A4" s="51">
        <v>43099</v>
      </c>
      <c r="B4" s="7" t="s">
        <v>12</v>
      </c>
      <c r="C4" s="1" t="s">
        <v>13</v>
      </c>
      <c r="D4" s="12">
        <v>135</v>
      </c>
      <c r="E4" s="9"/>
      <c r="F4" s="42" t="s">
        <v>657</v>
      </c>
      <c r="G4" s="11"/>
      <c r="H4" s="11"/>
      <c r="I4" s="11"/>
      <c r="J4" s="11"/>
      <c r="K4" s="11"/>
      <c r="L4" s="11"/>
      <c r="M4" s="11"/>
      <c r="N4" s="11"/>
    </row>
    <row r="5" spans="1:14">
      <c r="A5" s="51">
        <v>43106</v>
      </c>
      <c r="B5" s="7" t="s">
        <v>18</v>
      </c>
      <c r="C5" s="1" t="s">
        <v>19</v>
      </c>
      <c r="D5" s="12">
        <v>259.58</v>
      </c>
      <c r="E5" s="12"/>
      <c r="F5">
        <v>124761945</v>
      </c>
      <c r="G5" s="11"/>
      <c r="H5" s="9"/>
      <c r="I5" s="11"/>
      <c r="J5" s="11"/>
      <c r="K5" s="11"/>
      <c r="L5" s="11"/>
      <c r="M5" s="11"/>
      <c r="N5" s="11"/>
    </row>
    <row r="6" spans="1:14">
      <c r="A6" s="51">
        <v>43106</v>
      </c>
      <c r="B6" s="7" t="s">
        <v>581</v>
      </c>
      <c r="C6" s="1" t="s">
        <v>582</v>
      </c>
      <c r="D6" s="12">
        <v>125.34</v>
      </c>
      <c r="E6" s="9"/>
      <c r="F6" s="18" t="s">
        <v>658</v>
      </c>
      <c r="G6" s="7"/>
      <c r="H6" s="7"/>
      <c r="I6" s="7"/>
      <c r="J6" s="7"/>
      <c r="K6" s="7"/>
      <c r="L6" s="7"/>
      <c r="M6" s="7"/>
      <c r="N6" s="7"/>
    </row>
    <row r="7" spans="1:14">
      <c r="A7" s="51">
        <v>43112</v>
      </c>
      <c r="B7" s="7" t="s">
        <v>155</v>
      </c>
      <c r="C7" s="1" t="s">
        <v>16</v>
      </c>
      <c r="D7" s="12">
        <v>61</v>
      </c>
      <c r="E7" s="12"/>
      <c r="F7" t="s">
        <v>659</v>
      </c>
      <c r="G7" s="11"/>
      <c r="H7" s="11"/>
      <c r="I7" s="11"/>
      <c r="J7" s="11"/>
      <c r="K7" s="11"/>
      <c r="L7" s="11"/>
      <c r="M7" s="11"/>
      <c r="N7" s="11"/>
    </row>
    <row r="8" spans="1:14">
      <c r="A8" s="51" t="s">
        <v>9</v>
      </c>
      <c r="B8" s="7" t="s">
        <v>21</v>
      </c>
      <c r="C8" s="1" t="s">
        <v>596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51">
        <v>43112</v>
      </c>
      <c r="B9" s="7" t="s">
        <v>21</v>
      </c>
      <c r="C9" s="1" t="s">
        <v>23</v>
      </c>
      <c r="D9" s="12">
        <v>293.8</v>
      </c>
      <c r="E9" s="9"/>
      <c r="F9" s="18" t="s">
        <v>660</v>
      </c>
      <c r="G9" s="1"/>
      <c r="H9" s="1"/>
      <c r="I9" s="1"/>
      <c r="J9" s="1"/>
      <c r="K9" s="1"/>
      <c r="L9" s="1"/>
      <c r="M9" s="1"/>
      <c r="N9" s="1"/>
    </row>
    <row r="10" spans="1:14">
      <c r="A10" s="51" t="s">
        <v>9</v>
      </c>
      <c r="B10" s="7" t="s">
        <v>21</v>
      </c>
      <c r="C10" s="1" t="s">
        <v>25</v>
      </c>
      <c r="D10" s="12">
        <v>30.25</v>
      </c>
      <c r="E10" s="16"/>
      <c r="F10" s="45"/>
      <c r="G10" s="11"/>
      <c r="H10" s="11"/>
      <c r="I10" s="11"/>
      <c r="J10" s="11"/>
      <c r="K10" s="11"/>
      <c r="L10" s="11"/>
      <c r="M10" s="11"/>
      <c r="N10" s="11"/>
    </row>
    <row r="11" spans="1:14">
      <c r="A11" s="51">
        <v>43112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51">
        <v>43112</v>
      </c>
      <c r="B12" s="7" t="s">
        <v>21</v>
      </c>
      <c r="C12" s="1" t="s">
        <v>548</v>
      </c>
      <c r="D12" s="12">
        <v>297</v>
      </c>
      <c r="E12" s="16"/>
      <c r="F12" s="50">
        <v>27927256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51">
        <v>43106</v>
      </c>
      <c r="B13" s="7" t="s">
        <v>105</v>
      </c>
      <c r="C13" s="1" t="s">
        <v>186</v>
      </c>
      <c r="D13" s="12">
        <v>53.1</v>
      </c>
      <c r="E13" s="12"/>
      <c r="F13" s="18" t="s">
        <v>661</v>
      </c>
      <c r="G13" s="35"/>
      <c r="H13" s="1"/>
      <c r="I13" s="1"/>
      <c r="J13" s="1"/>
      <c r="K13" s="1"/>
      <c r="L13" s="1"/>
      <c r="M13" s="1"/>
      <c r="N13" s="1"/>
    </row>
    <row r="14" spans="1:14">
      <c r="A14" s="51">
        <v>43112</v>
      </c>
      <c r="B14" s="7" t="s">
        <v>27</v>
      </c>
      <c r="C14" s="1" t="s">
        <v>28</v>
      </c>
      <c r="D14" s="12">
        <v>72</v>
      </c>
      <c r="E14" s="9"/>
      <c r="F14" s="44" t="s">
        <v>662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51" t="s">
        <v>9</v>
      </c>
      <c r="B15" s="7" t="s">
        <v>27</v>
      </c>
      <c r="C15" s="1" t="s">
        <v>333</v>
      </c>
      <c r="D15" s="12">
        <v>58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51">
        <v>43126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51">
        <v>43127</v>
      </c>
      <c r="B17" s="7" t="s">
        <v>367</v>
      </c>
      <c r="C17" s="1" t="s">
        <v>35</v>
      </c>
      <c r="D17" s="12">
        <v>161</v>
      </c>
      <c r="E17" s="9"/>
      <c r="F17" s="17" t="s">
        <v>663</v>
      </c>
      <c r="G17" s="7"/>
      <c r="H17" s="7"/>
      <c r="I17" s="7"/>
      <c r="J17" s="7"/>
      <c r="K17" s="7"/>
      <c r="L17" s="7"/>
      <c r="M17" s="7"/>
      <c r="N17" s="7"/>
    </row>
    <row r="18" spans="1:14">
      <c r="A18" s="52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52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52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51">
        <v>43106</v>
      </c>
      <c r="B21" s="1" t="s">
        <v>45</v>
      </c>
      <c r="C21" s="1" t="s">
        <v>258</v>
      </c>
      <c r="D21" s="12">
        <v>0</v>
      </c>
      <c r="E21" s="1"/>
      <c r="F21" s="18" t="s">
        <v>664</v>
      </c>
      <c r="G21" s="1"/>
      <c r="H21" s="1"/>
      <c r="I21" s="1"/>
      <c r="J21" s="1"/>
      <c r="K21" s="1"/>
      <c r="L21" s="1"/>
      <c r="M21" s="1"/>
      <c r="N21" s="1"/>
    </row>
    <row r="22" spans="1:14">
      <c r="A22" s="51">
        <v>43106</v>
      </c>
      <c r="B22" s="1" t="s">
        <v>45</v>
      </c>
      <c r="C22" s="1" t="s">
        <v>46</v>
      </c>
      <c r="D22" s="12">
        <v>25</v>
      </c>
      <c r="E22" s="1"/>
      <c r="F22" s="18"/>
      <c r="G22" s="1"/>
      <c r="H22" s="1"/>
      <c r="I22" s="1"/>
      <c r="J22" s="1"/>
      <c r="K22" s="1"/>
      <c r="L22" s="1"/>
      <c r="M22" s="1"/>
      <c r="N22" s="1"/>
    </row>
    <row r="23" spans="1:14">
      <c r="A23" s="51">
        <v>43112</v>
      </c>
      <c r="B23" s="1" t="s">
        <v>48</v>
      </c>
      <c r="C23" s="1" t="s">
        <v>49</v>
      </c>
      <c r="D23" s="12">
        <v>369</v>
      </c>
      <c r="E23" s="1"/>
      <c r="F23" s="45">
        <v>617358</v>
      </c>
      <c r="H23" s="1"/>
      <c r="I23" s="1"/>
      <c r="J23" s="1"/>
      <c r="K23" s="1"/>
      <c r="L23" s="1"/>
      <c r="M23" s="1"/>
      <c r="N23" s="1"/>
    </row>
    <row r="24" spans="1:14">
      <c r="A24" s="51">
        <v>43112</v>
      </c>
      <c r="B24" s="1" t="s">
        <v>27</v>
      </c>
      <c r="C24" s="1" t="s">
        <v>43</v>
      </c>
      <c r="D24" s="12">
        <v>184</v>
      </c>
      <c r="E24" s="1"/>
      <c r="F24" s="37">
        <v>313801845</v>
      </c>
      <c r="G24" s="1"/>
      <c r="H24" s="1"/>
      <c r="I24" s="1"/>
      <c r="J24" s="1"/>
      <c r="K24" s="1"/>
      <c r="L24" s="1"/>
      <c r="M24" s="1"/>
      <c r="N24" s="1"/>
    </row>
    <row r="25" spans="1:14">
      <c r="A25" s="51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s="53">
        <v>43097</v>
      </c>
      <c r="B26" s="1" t="s">
        <v>38</v>
      </c>
      <c r="C26" s="1" t="s">
        <v>39</v>
      </c>
      <c r="D26" s="23">
        <v>0</v>
      </c>
      <c r="E26" s="1"/>
      <c r="F26" s="24" t="s">
        <v>665</v>
      </c>
      <c r="G26" s="1"/>
      <c r="H26" s="1"/>
      <c r="I26" s="1"/>
      <c r="J26" s="1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4085.3699999999994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2128.6300000000006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532.15750000000014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292.15750000000014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666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1">
        <v>43132</v>
      </c>
      <c r="B3" s="7" t="s">
        <v>6</v>
      </c>
      <c r="C3" s="1" t="s">
        <v>359</v>
      </c>
      <c r="D3" s="8">
        <v>1183.5</v>
      </c>
      <c r="E3" s="9"/>
      <c r="F3" s="45" t="s">
        <v>667</v>
      </c>
      <c r="G3" s="11"/>
      <c r="H3" s="11"/>
      <c r="I3" s="11"/>
      <c r="J3" s="11"/>
      <c r="K3" s="11"/>
      <c r="L3" s="11"/>
      <c r="M3" s="11"/>
      <c r="N3" s="11"/>
    </row>
    <row r="4" spans="1:14">
      <c r="A4" s="51">
        <v>43132</v>
      </c>
      <c r="B4" s="7" t="s">
        <v>12</v>
      </c>
      <c r="C4" s="1" t="s">
        <v>13</v>
      </c>
      <c r="D4" s="12">
        <v>135</v>
      </c>
      <c r="E4" s="9"/>
      <c r="F4" s="42" t="s">
        <v>668</v>
      </c>
      <c r="G4" s="11"/>
      <c r="H4" s="11"/>
      <c r="I4" s="11"/>
      <c r="J4" s="11"/>
      <c r="K4" s="11"/>
      <c r="L4" s="11"/>
      <c r="M4" s="11"/>
      <c r="N4" s="11"/>
    </row>
    <row r="5" spans="1:14">
      <c r="A5" s="51">
        <v>43132</v>
      </c>
      <c r="B5" s="7" t="s">
        <v>18</v>
      </c>
      <c r="C5" s="1" t="s">
        <v>19</v>
      </c>
      <c r="D5" s="12">
        <v>259.58</v>
      </c>
      <c r="E5" s="12"/>
      <c r="F5">
        <v>126193298</v>
      </c>
      <c r="G5" s="11"/>
      <c r="H5" s="9"/>
      <c r="I5" s="11"/>
      <c r="J5" s="11"/>
      <c r="K5" s="11"/>
      <c r="L5" s="11"/>
      <c r="M5" s="11"/>
      <c r="N5" s="11"/>
    </row>
    <row r="6" spans="1:14">
      <c r="A6" s="51">
        <v>43139</v>
      </c>
      <c r="B6" s="7" t="s">
        <v>581</v>
      </c>
      <c r="C6" s="1" t="s">
        <v>582</v>
      </c>
      <c r="D6" s="12">
        <v>125.34</v>
      </c>
      <c r="E6" s="9"/>
      <c r="F6" s="18" t="s">
        <v>669</v>
      </c>
      <c r="G6" s="7"/>
      <c r="H6" s="7"/>
      <c r="I6" s="7"/>
      <c r="J6" s="7"/>
      <c r="K6" s="7"/>
      <c r="L6" s="7"/>
      <c r="M6" s="7"/>
      <c r="N6" s="7"/>
    </row>
    <row r="7" spans="1:14">
      <c r="A7" s="51">
        <v>43140</v>
      </c>
      <c r="B7" s="7" t="s">
        <v>155</v>
      </c>
      <c r="C7" s="1" t="s">
        <v>16</v>
      </c>
      <c r="D7" s="12">
        <v>61</v>
      </c>
      <c r="E7" s="12"/>
      <c r="F7" t="s">
        <v>670</v>
      </c>
      <c r="G7" s="11"/>
      <c r="H7" s="11"/>
      <c r="I7" s="11"/>
      <c r="J7" s="11"/>
      <c r="K7" s="11"/>
      <c r="L7" s="11"/>
      <c r="M7" s="11"/>
      <c r="N7" s="11"/>
    </row>
    <row r="8" spans="1:14">
      <c r="A8" s="51">
        <v>43140</v>
      </c>
      <c r="B8" s="7" t="s">
        <v>21</v>
      </c>
      <c r="C8" s="1" t="s">
        <v>671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51">
        <v>43140</v>
      </c>
      <c r="B9" s="7" t="s">
        <v>21</v>
      </c>
      <c r="C9" s="1" t="s">
        <v>23</v>
      </c>
      <c r="D9" s="12">
        <v>293.8</v>
      </c>
      <c r="E9" s="9"/>
      <c r="F9" s="18" t="s">
        <v>672</v>
      </c>
      <c r="G9" s="1"/>
      <c r="H9" s="1"/>
      <c r="I9" s="1"/>
      <c r="J9" s="1"/>
      <c r="K9" s="1"/>
      <c r="L9" s="1"/>
      <c r="M9" s="1"/>
      <c r="N9" s="1"/>
    </row>
    <row r="10" spans="1:14">
      <c r="A10" s="51">
        <v>43140</v>
      </c>
      <c r="B10" s="7" t="s">
        <v>21</v>
      </c>
      <c r="C10" s="1" t="s">
        <v>25</v>
      </c>
      <c r="D10" s="12">
        <v>30.25</v>
      </c>
      <c r="E10" s="16"/>
      <c r="F10" s="45"/>
      <c r="G10" s="11"/>
      <c r="H10" s="11"/>
      <c r="I10" s="11"/>
      <c r="J10" s="11"/>
      <c r="K10" s="11"/>
      <c r="L10" s="11"/>
      <c r="M10" s="11"/>
      <c r="N10" s="11"/>
    </row>
    <row r="11" spans="1:14">
      <c r="A11" s="51">
        <v>43140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51">
        <v>43140</v>
      </c>
      <c r="B12" s="7" t="s">
        <v>21</v>
      </c>
      <c r="C12" s="1" t="s">
        <v>548</v>
      </c>
      <c r="D12" s="12">
        <v>297</v>
      </c>
      <c r="E12" s="16"/>
      <c r="F12" s="50">
        <v>29050682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51">
        <v>43140</v>
      </c>
      <c r="B13" s="7" t="s">
        <v>105</v>
      </c>
      <c r="C13" s="1" t="s">
        <v>186</v>
      </c>
      <c r="D13" s="12">
        <v>53.1</v>
      </c>
      <c r="E13" s="12"/>
      <c r="F13" s="18" t="s">
        <v>673</v>
      </c>
      <c r="G13" s="35"/>
      <c r="H13" s="1"/>
      <c r="I13" s="1"/>
      <c r="J13" s="1"/>
      <c r="K13" s="1"/>
      <c r="L13" s="1"/>
      <c r="M13" s="1"/>
      <c r="N13" s="1"/>
    </row>
    <row r="14" spans="1:14">
      <c r="A14" s="51">
        <v>43140</v>
      </c>
      <c r="B14" s="7" t="s">
        <v>27</v>
      </c>
      <c r="C14" s="1" t="s">
        <v>28</v>
      </c>
      <c r="D14" s="12">
        <v>72</v>
      </c>
      <c r="E14" s="9"/>
      <c r="F14" s="44" t="s">
        <v>674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51" t="s">
        <v>9</v>
      </c>
      <c r="B15" s="7" t="s">
        <v>27</v>
      </c>
      <c r="C15" s="1" t="s">
        <v>333</v>
      </c>
      <c r="D15" s="12">
        <v>64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51">
        <v>43154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51">
        <v>43154</v>
      </c>
      <c r="B17" s="7" t="s">
        <v>367</v>
      </c>
      <c r="C17" s="1" t="s">
        <v>35</v>
      </c>
      <c r="D17" s="12">
        <v>161</v>
      </c>
      <c r="E17" s="9"/>
      <c r="F17" s="17"/>
      <c r="G17" s="7"/>
      <c r="H17" s="7"/>
      <c r="I17" s="7"/>
      <c r="J17" s="7"/>
      <c r="K17" s="7"/>
      <c r="L17" s="7"/>
      <c r="M17" s="7"/>
      <c r="N17" s="7"/>
    </row>
    <row r="18" spans="1:14">
      <c r="A18" s="52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52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52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51">
        <v>43139</v>
      </c>
      <c r="B21" s="1" t="s">
        <v>45</v>
      </c>
      <c r="C21" s="1" t="s">
        <v>258</v>
      </c>
      <c r="D21" s="12">
        <v>0</v>
      </c>
      <c r="E21" s="1"/>
      <c r="F21" s="18" t="s">
        <v>675</v>
      </c>
      <c r="G21" s="1"/>
      <c r="H21" s="1"/>
      <c r="I21" s="1"/>
      <c r="J21" s="1"/>
      <c r="K21" s="1"/>
      <c r="L21" s="1"/>
      <c r="M21" s="1"/>
      <c r="N21" s="1"/>
    </row>
    <row r="22" spans="1:14">
      <c r="A22" s="51">
        <v>43139</v>
      </c>
      <c r="B22" s="1" t="s">
        <v>45</v>
      </c>
      <c r="C22" s="1" t="s">
        <v>46</v>
      </c>
      <c r="D22" s="12">
        <v>25</v>
      </c>
      <c r="E22" s="1"/>
      <c r="F22" s="18" t="s">
        <v>676</v>
      </c>
      <c r="G22" s="1"/>
      <c r="H22" s="1"/>
      <c r="I22" s="1"/>
      <c r="J22" s="1"/>
      <c r="K22" s="1"/>
      <c r="L22" s="1"/>
      <c r="M22" s="1"/>
      <c r="N22" s="1"/>
    </row>
    <row r="23" spans="1:14">
      <c r="A23" s="51">
        <v>43140</v>
      </c>
      <c r="B23" s="1" t="s">
        <v>48</v>
      </c>
      <c r="C23" s="1" t="s">
        <v>49</v>
      </c>
      <c r="D23" s="12">
        <v>369</v>
      </c>
      <c r="E23" s="1"/>
      <c r="F23" s="45">
        <v>94733</v>
      </c>
      <c r="H23" s="1"/>
      <c r="I23" s="1"/>
      <c r="J23" s="1"/>
      <c r="K23" s="1"/>
      <c r="L23" s="1"/>
      <c r="M23" s="1"/>
      <c r="N23" s="1"/>
    </row>
    <row r="24" spans="1:14">
      <c r="A24" s="51">
        <v>43140</v>
      </c>
      <c r="B24" s="1" t="s">
        <v>27</v>
      </c>
      <c r="C24" s="1" t="s">
        <v>43</v>
      </c>
      <c r="D24" s="12">
        <v>232</v>
      </c>
      <c r="E24" s="1"/>
      <c r="F24" s="37">
        <v>317034068</v>
      </c>
      <c r="G24" s="1"/>
      <c r="H24" s="1"/>
      <c r="I24" s="1"/>
      <c r="J24" s="1"/>
      <c r="K24" s="1"/>
      <c r="L24" s="1"/>
      <c r="M24" s="1"/>
      <c r="N24" s="1"/>
    </row>
    <row r="25" spans="1:14">
      <c r="A25" s="51">
        <v>43140</v>
      </c>
      <c r="B25" s="1" t="s">
        <v>51</v>
      </c>
      <c r="C25" s="1" t="s">
        <v>52</v>
      </c>
      <c r="E25" s="1"/>
      <c r="F25" s="18" t="s">
        <v>677</v>
      </c>
      <c r="G25" s="1"/>
      <c r="H25" s="1"/>
      <c r="I25" s="1"/>
      <c r="J25" s="1"/>
      <c r="K25" s="1"/>
      <c r="L25" s="48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4139.369999999999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2074.630000000001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518.65750000000025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278.65750000000025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678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1">
        <v>43161</v>
      </c>
      <c r="B3" s="7" t="s">
        <v>6</v>
      </c>
      <c r="C3" s="1" t="s">
        <v>359</v>
      </c>
      <c r="D3" s="8">
        <v>1183.5</v>
      </c>
      <c r="E3" s="9"/>
      <c r="F3" s="45" t="s">
        <v>679</v>
      </c>
      <c r="G3" s="11"/>
      <c r="H3" s="11"/>
      <c r="I3" s="11"/>
      <c r="J3" s="11"/>
      <c r="K3" s="11"/>
      <c r="L3" s="11"/>
      <c r="M3" s="11"/>
      <c r="N3" s="11"/>
    </row>
    <row r="4" spans="1:14">
      <c r="A4" s="51">
        <v>43161</v>
      </c>
      <c r="B4" s="7" t="s">
        <v>10</v>
      </c>
      <c r="C4" s="1" t="s">
        <v>13</v>
      </c>
      <c r="D4" s="12">
        <v>135</v>
      </c>
      <c r="E4" s="9"/>
      <c r="F4" s="42" t="s">
        <v>680</v>
      </c>
      <c r="G4" s="11"/>
      <c r="H4" s="11"/>
      <c r="I4" s="11"/>
      <c r="J4" s="11"/>
      <c r="K4" s="11"/>
      <c r="L4" s="11"/>
      <c r="M4" s="11"/>
      <c r="N4" s="11"/>
    </row>
    <row r="5" spans="1:14">
      <c r="A5" s="51">
        <v>43165</v>
      </c>
      <c r="B5" s="7" t="s">
        <v>18</v>
      </c>
      <c r="C5" s="1" t="s">
        <v>19</v>
      </c>
      <c r="D5" s="12">
        <v>259.58</v>
      </c>
      <c r="E5" s="12"/>
      <c r="F5">
        <v>128202596</v>
      </c>
      <c r="G5" s="11"/>
      <c r="H5" s="9"/>
      <c r="I5" s="11"/>
      <c r="J5" s="11"/>
      <c r="K5" s="11"/>
      <c r="L5" s="11"/>
      <c r="M5" s="11"/>
      <c r="N5" s="11"/>
    </row>
    <row r="6" spans="1:14">
      <c r="A6" s="51">
        <v>43168</v>
      </c>
      <c r="B6" s="7" t="s">
        <v>581</v>
      </c>
      <c r="C6" s="1" t="s">
        <v>582</v>
      </c>
      <c r="D6" s="12">
        <v>125.34</v>
      </c>
      <c r="E6" s="9"/>
      <c r="F6" s="18" t="s">
        <v>681</v>
      </c>
      <c r="G6" s="7"/>
      <c r="H6" s="7"/>
      <c r="I6" s="7"/>
      <c r="J6" s="7"/>
      <c r="K6" s="7"/>
      <c r="L6" s="7"/>
      <c r="M6" s="7"/>
      <c r="N6" s="7"/>
    </row>
    <row r="7" spans="1:14">
      <c r="A7" s="51">
        <v>43171</v>
      </c>
      <c r="B7" s="7" t="s">
        <v>155</v>
      </c>
      <c r="C7" s="1" t="s">
        <v>16</v>
      </c>
      <c r="D7" s="12">
        <v>61</v>
      </c>
      <c r="E7" s="12"/>
      <c r="F7" t="s">
        <v>682</v>
      </c>
      <c r="G7" s="11"/>
      <c r="H7" s="11"/>
      <c r="I7" s="11"/>
      <c r="J7" s="11"/>
      <c r="K7" s="11"/>
      <c r="L7" s="11"/>
      <c r="M7" s="11"/>
      <c r="N7" s="11"/>
    </row>
    <row r="8" spans="1:14">
      <c r="A8" s="51" t="s">
        <v>9</v>
      </c>
      <c r="B8" s="7" t="s">
        <v>21</v>
      </c>
      <c r="C8" s="1" t="s">
        <v>671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51">
        <v>43171</v>
      </c>
      <c r="B9" s="7" t="s">
        <v>21</v>
      </c>
      <c r="C9" s="1" t="s">
        <v>23</v>
      </c>
      <c r="D9" s="12">
        <v>293.8</v>
      </c>
      <c r="E9" s="9"/>
      <c r="F9" s="18" t="s">
        <v>683</v>
      </c>
      <c r="G9" s="1"/>
      <c r="H9" s="1"/>
      <c r="I9" s="1"/>
      <c r="J9" s="1"/>
      <c r="K9" s="1"/>
      <c r="L9" s="1"/>
      <c r="M9" s="1"/>
      <c r="N9" s="1"/>
    </row>
    <row r="10" spans="1:14">
      <c r="A10" s="51" t="s">
        <v>9</v>
      </c>
      <c r="B10" s="7" t="s">
        <v>21</v>
      </c>
      <c r="C10" s="1" t="s">
        <v>25</v>
      </c>
      <c r="D10" s="12">
        <v>30.25</v>
      </c>
      <c r="E10" s="16"/>
      <c r="F10" s="45"/>
      <c r="G10" s="11"/>
      <c r="H10" s="11"/>
      <c r="I10" s="11"/>
      <c r="J10" s="11"/>
      <c r="K10" s="11"/>
      <c r="L10" s="11"/>
      <c r="M10" s="11"/>
      <c r="N10" s="11"/>
    </row>
    <row r="11" spans="1:14">
      <c r="A11" s="51">
        <v>43171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51">
        <v>43171</v>
      </c>
      <c r="B12" s="7" t="s">
        <v>21</v>
      </c>
      <c r="C12" s="1" t="s">
        <v>548</v>
      </c>
      <c r="D12" s="12">
        <v>297</v>
      </c>
      <c r="E12" s="16"/>
      <c r="F12" s="50">
        <v>30332511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51">
        <v>43171</v>
      </c>
      <c r="B13" s="7" t="s">
        <v>105</v>
      </c>
      <c r="C13" s="1" t="s">
        <v>186</v>
      </c>
      <c r="D13" s="12">
        <v>53.1</v>
      </c>
      <c r="E13" s="12"/>
      <c r="F13" s="18"/>
      <c r="G13" s="35"/>
      <c r="H13" s="1"/>
      <c r="I13" s="1"/>
      <c r="J13" s="1"/>
      <c r="K13" s="1"/>
      <c r="L13" s="1"/>
      <c r="M13" s="1"/>
      <c r="N13" s="1"/>
    </row>
    <row r="14" spans="1:14">
      <c r="A14" s="51">
        <v>43171</v>
      </c>
      <c r="B14" s="7" t="s">
        <v>27</v>
      </c>
      <c r="C14" s="1" t="s">
        <v>28</v>
      </c>
      <c r="D14" s="12">
        <v>62.45</v>
      </c>
      <c r="E14" s="9"/>
      <c r="F14" s="44" t="s">
        <v>684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51" t="s">
        <v>9</v>
      </c>
      <c r="B15" s="7" t="s">
        <v>27</v>
      </c>
      <c r="C15" s="1" t="s">
        <v>333</v>
      </c>
      <c r="D15" s="12">
        <v>64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51">
        <v>43183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51">
        <v>43183</v>
      </c>
      <c r="B17" s="7" t="s">
        <v>367</v>
      </c>
      <c r="C17" s="1" t="s">
        <v>35</v>
      </c>
      <c r="D17" s="12">
        <v>161</v>
      </c>
      <c r="E17" s="9"/>
      <c r="F17" s="17" t="s">
        <v>685</v>
      </c>
      <c r="G17" s="7"/>
      <c r="H17" s="7"/>
      <c r="I17" s="7"/>
      <c r="J17" s="7"/>
      <c r="K17" s="7"/>
      <c r="L17" s="7"/>
      <c r="M17" s="7"/>
      <c r="N17" s="7"/>
    </row>
    <row r="18" spans="1:14">
      <c r="A18" s="52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52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52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51" t="s">
        <v>9</v>
      </c>
      <c r="B21" s="1" t="s">
        <v>45</v>
      </c>
      <c r="C21" s="1" t="s">
        <v>258</v>
      </c>
      <c r="D21" s="12">
        <v>0</v>
      </c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51">
        <v>43168</v>
      </c>
      <c r="B22" s="1" t="s">
        <v>45</v>
      </c>
      <c r="C22" s="1" t="s">
        <v>46</v>
      </c>
      <c r="D22" s="12">
        <v>25</v>
      </c>
      <c r="E22" s="1"/>
      <c r="F22" s="18" t="s">
        <v>686</v>
      </c>
      <c r="G22" s="1"/>
      <c r="H22" s="1"/>
      <c r="I22" s="1"/>
      <c r="J22" s="1"/>
      <c r="K22" s="1"/>
      <c r="L22" s="1"/>
      <c r="M22" s="1"/>
      <c r="N22" s="1"/>
    </row>
    <row r="23" spans="1:14">
      <c r="A23" s="51">
        <v>43171</v>
      </c>
      <c r="B23" s="1" t="s">
        <v>48</v>
      </c>
      <c r="C23" s="1" t="s">
        <v>49</v>
      </c>
      <c r="D23" s="12">
        <v>369</v>
      </c>
      <c r="E23" s="1"/>
      <c r="F23" s="45">
        <v>553348</v>
      </c>
      <c r="H23" s="1"/>
      <c r="I23" s="1"/>
      <c r="J23" s="1"/>
      <c r="K23" s="1"/>
      <c r="L23" s="1"/>
      <c r="M23" s="1"/>
      <c r="N23" s="1"/>
    </row>
    <row r="24" spans="1:14">
      <c r="A24" s="51">
        <v>43171</v>
      </c>
      <c r="B24" s="1" t="s">
        <v>27</v>
      </c>
      <c r="C24" s="1" t="s">
        <v>43</v>
      </c>
      <c r="D24" s="12">
        <v>232</v>
      </c>
      <c r="E24" s="1"/>
      <c r="F24" s="37">
        <v>320675028</v>
      </c>
      <c r="G24" s="1"/>
      <c r="H24" s="1"/>
      <c r="I24" s="1"/>
      <c r="J24" s="1"/>
      <c r="K24" s="1"/>
      <c r="L24" s="1"/>
      <c r="M24" s="1"/>
      <c r="N24" s="1"/>
    </row>
    <row r="25" spans="1:14">
      <c r="A25" s="51">
        <v>43171</v>
      </c>
      <c r="B25" s="1" t="s">
        <v>51</v>
      </c>
      <c r="C25" s="1" t="s">
        <v>52</v>
      </c>
      <c r="E25" s="1"/>
      <c r="F25" s="18" t="s">
        <v>687</v>
      </c>
      <c r="G25" s="1"/>
      <c r="H25" s="1"/>
      <c r="I25" s="1"/>
      <c r="J25" s="1"/>
      <c r="K25" s="1"/>
      <c r="L25" s="48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4129.82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2084.1800000000003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521.04500000000007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281.04500000000007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688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1">
        <v>43189</v>
      </c>
      <c r="B3" s="7" t="s">
        <v>6</v>
      </c>
      <c r="C3" s="1" t="s">
        <v>359</v>
      </c>
      <c r="D3" s="8">
        <v>1183.5</v>
      </c>
      <c r="E3" s="9"/>
      <c r="F3" s="45" t="s">
        <v>689</v>
      </c>
      <c r="G3" s="11"/>
      <c r="H3" s="11"/>
      <c r="I3" s="11"/>
      <c r="J3" s="11"/>
      <c r="K3" s="11"/>
      <c r="L3" s="11"/>
      <c r="M3" s="11"/>
      <c r="N3" s="11"/>
    </row>
    <row r="4" spans="1:14">
      <c r="A4" s="51">
        <v>43189</v>
      </c>
      <c r="B4" s="7" t="s">
        <v>10</v>
      </c>
      <c r="C4" s="1" t="s">
        <v>13</v>
      </c>
      <c r="D4" s="12">
        <v>135</v>
      </c>
      <c r="E4" s="9"/>
      <c r="F4" s="42" t="s">
        <v>690</v>
      </c>
      <c r="G4" s="11"/>
      <c r="H4" s="11"/>
      <c r="I4" s="11"/>
      <c r="J4" s="11"/>
      <c r="K4" s="11"/>
      <c r="L4" s="11"/>
      <c r="M4" s="11"/>
      <c r="N4" s="11"/>
    </row>
    <row r="5" spans="1:14">
      <c r="A5" s="51">
        <v>43196</v>
      </c>
      <c r="B5" s="7" t="s">
        <v>18</v>
      </c>
      <c r="C5" s="1" t="s">
        <v>19</v>
      </c>
      <c r="D5" s="12">
        <v>259.58</v>
      </c>
      <c r="E5" s="12"/>
      <c r="F5">
        <v>130102328</v>
      </c>
      <c r="G5" s="11"/>
      <c r="H5" s="9"/>
      <c r="I5" s="11"/>
      <c r="J5" s="11"/>
      <c r="K5" s="11"/>
      <c r="L5" s="11"/>
      <c r="M5" s="11"/>
      <c r="N5" s="11"/>
    </row>
    <row r="6" spans="1:14">
      <c r="A6" s="51">
        <v>43196</v>
      </c>
      <c r="B6" s="7" t="s">
        <v>581</v>
      </c>
      <c r="C6" s="1" t="s">
        <v>582</v>
      </c>
      <c r="D6" s="12">
        <v>125.34</v>
      </c>
      <c r="E6" s="9"/>
      <c r="F6" s="18" t="s">
        <v>691</v>
      </c>
      <c r="G6" s="7"/>
      <c r="H6" s="7"/>
      <c r="I6" s="7"/>
      <c r="J6" s="7"/>
      <c r="K6" s="7"/>
      <c r="L6" s="7"/>
      <c r="M6" s="7"/>
      <c r="N6" s="7"/>
    </row>
    <row r="7" spans="1:14">
      <c r="A7" s="51">
        <v>43196</v>
      </c>
      <c r="B7" s="7" t="s">
        <v>155</v>
      </c>
      <c r="C7" s="1" t="s">
        <v>16</v>
      </c>
      <c r="D7" s="12">
        <v>61</v>
      </c>
      <c r="E7" s="12"/>
      <c r="F7" t="s">
        <v>692</v>
      </c>
      <c r="G7" s="11"/>
      <c r="H7" s="11"/>
      <c r="I7" s="11"/>
      <c r="J7" s="11"/>
      <c r="K7" s="11"/>
      <c r="L7" s="11"/>
      <c r="M7" s="11"/>
      <c r="N7" s="11"/>
    </row>
    <row r="8" spans="1:14">
      <c r="A8" s="51" t="s">
        <v>9</v>
      </c>
      <c r="B8" s="7" t="s">
        <v>21</v>
      </c>
      <c r="C8" s="1" t="s">
        <v>671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51">
        <v>43196</v>
      </c>
      <c r="B9" s="7" t="s">
        <v>21</v>
      </c>
      <c r="C9" s="1" t="s">
        <v>23</v>
      </c>
      <c r="D9" s="12">
        <v>293.8</v>
      </c>
      <c r="E9" s="9"/>
      <c r="F9" s="18" t="s">
        <v>693</v>
      </c>
      <c r="G9" s="1"/>
      <c r="H9" s="1"/>
      <c r="I9" s="1"/>
      <c r="J9" s="1"/>
      <c r="K9" s="1"/>
      <c r="L9" s="1"/>
      <c r="M9" s="1"/>
      <c r="N9" s="1"/>
    </row>
    <row r="10" spans="1:14">
      <c r="A10" s="51">
        <v>43193</v>
      </c>
      <c r="B10" s="7" t="s">
        <v>21</v>
      </c>
      <c r="C10" s="1" t="s">
        <v>25</v>
      </c>
      <c r="D10" s="12">
        <v>30.25</v>
      </c>
      <c r="E10" s="16"/>
      <c r="F10" s="45"/>
      <c r="G10" s="11"/>
      <c r="H10" s="11"/>
      <c r="I10" s="11"/>
      <c r="J10" s="11"/>
      <c r="K10" s="11"/>
      <c r="L10" s="11"/>
      <c r="M10" s="11"/>
      <c r="N10" s="11"/>
    </row>
    <row r="11" spans="1:14">
      <c r="A11" s="51">
        <v>43196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51">
        <v>43196</v>
      </c>
      <c r="B12" s="7" t="s">
        <v>21</v>
      </c>
      <c r="C12" s="1" t="s">
        <v>548</v>
      </c>
      <c r="D12" s="12">
        <v>297</v>
      </c>
      <c r="E12" s="16"/>
      <c r="F12" s="50">
        <v>31366484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51">
        <v>43193</v>
      </c>
      <c r="B13" s="7" t="s">
        <v>105</v>
      </c>
      <c r="C13" s="1" t="s">
        <v>186</v>
      </c>
      <c r="D13" s="12">
        <v>53.1</v>
      </c>
      <c r="E13" s="12"/>
      <c r="F13" s="18"/>
      <c r="G13" s="35"/>
      <c r="H13" s="1"/>
      <c r="I13" s="1"/>
      <c r="J13" s="1"/>
      <c r="K13" s="1"/>
      <c r="L13" s="1"/>
      <c r="M13" s="1"/>
      <c r="N13" s="1"/>
    </row>
    <row r="14" spans="1:14">
      <c r="A14" s="51">
        <v>43196</v>
      </c>
      <c r="B14" s="7" t="s">
        <v>27</v>
      </c>
      <c r="C14" s="1" t="s">
        <v>28</v>
      </c>
      <c r="D14" s="12">
        <v>62.45</v>
      </c>
      <c r="E14" s="9"/>
      <c r="F14" s="44" t="s">
        <v>694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51" t="s">
        <v>9</v>
      </c>
      <c r="B15" s="7" t="s">
        <v>27</v>
      </c>
      <c r="C15" s="1" t="s">
        <v>333</v>
      </c>
      <c r="D15" s="12">
        <v>64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51">
        <v>43216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51"/>
      <c r="B17" s="7" t="s">
        <v>367</v>
      </c>
      <c r="C17" s="1" t="s">
        <v>35</v>
      </c>
      <c r="D17" s="12">
        <v>161</v>
      </c>
      <c r="E17" s="9"/>
      <c r="F17" s="17"/>
      <c r="G17" s="7"/>
      <c r="H17" s="7"/>
      <c r="I17" s="7"/>
      <c r="J17" s="7"/>
      <c r="K17" s="7"/>
      <c r="L17" s="7"/>
      <c r="M17" s="7"/>
      <c r="N17" s="7"/>
    </row>
    <row r="18" spans="1:14">
      <c r="A18" s="52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52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52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51" t="s">
        <v>9</v>
      </c>
      <c r="B21" s="1" t="s">
        <v>45</v>
      </c>
      <c r="C21" s="1" t="s">
        <v>258</v>
      </c>
      <c r="D21" s="12">
        <v>0</v>
      </c>
      <c r="E21" s="1"/>
      <c r="F21" s="18"/>
      <c r="G21" s="1"/>
      <c r="H21" s="1"/>
      <c r="I21" s="1"/>
      <c r="J21" s="1"/>
      <c r="K21" s="1"/>
      <c r="L21" s="1"/>
      <c r="M21" s="1"/>
      <c r="N21" s="1"/>
    </row>
    <row r="22" spans="1:14">
      <c r="A22" s="51">
        <v>43196</v>
      </c>
      <c r="B22" s="1" t="s">
        <v>45</v>
      </c>
      <c r="C22" s="1" t="s">
        <v>46</v>
      </c>
      <c r="D22" s="12">
        <v>25</v>
      </c>
      <c r="E22" s="1"/>
      <c r="F22" s="18" t="s">
        <v>695</v>
      </c>
      <c r="G22" s="1"/>
      <c r="H22" s="1"/>
      <c r="I22" s="1"/>
      <c r="J22" s="1"/>
      <c r="K22" s="1"/>
      <c r="L22" s="1"/>
      <c r="M22" s="1"/>
      <c r="N22" s="1"/>
    </row>
    <row r="23" spans="1:14">
      <c r="A23" s="51">
        <v>43196</v>
      </c>
      <c r="B23" s="1" t="s">
        <v>48</v>
      </c>
      <c r="C23" s="1" t="s">
        <v>49</v>
      </c>
      <c r="D23" s="12">
        <v>369</v>
      </c>
      <c r="E23" s="1"/>
      <c r="F23" s="45">
        <v>259695</v>
      </c>
      <c r="H23" s="1"/>
      <c r="I23" s="1"/>
      <c r="J23" s="1"/>
      <c r="K23" s="1"/>
      <c r="L23" s="1"/>
      <c r="M23" s="1"/>
      <c r="N23" s="1"/>
    </row>
    <row r="24" spans="1:14">
      <c r="A24" s="51">
        <v>43196</v>
      </c>
      <c r="B24" s="1" t="s">
        <v>27</v>
      </c>
      <c r="C24" s="1" t="s">
        <v>43</v>
      </c>
      <c r="D24" s="12">
        <v>232</v>
      </c>
      <c r="E24" s="1"/>
      <c r="F24" s="37">
        <v>323463371</v>
      </c>
      <c r="G24" s="1"/>
      <c r="H24" s="1"/>
      <c r="I24" s="1"/>
      <c r="J24" s="1"/>
      <c r="K24" s="1"/>
      <c r="L24" s="1"/>
      <c r="M24" s="1"/>
      <c r="N24" s="1"/>
    </row>
    <row r="25" spans="1:14">
      <c r="A25" s="51">
        <v>43196</v>
      </c>
      <c r="B25" s="1" t="s">
        <v>51</v>
      </c>
      <c r="C25" s="1" t="s">
        <v>52</v>
      </c>
      <c r="E25" s="1"/>
      <c r="F25" s="18" t="s">
        <v>696</v>
      </c>
      <c r="G25" s="1"/>
      <c r="H25" s="1"/>
      <c r="I25" s="1"/>
      <c r="J25" s="1"/>
      <c r="K25" s="1"/>
      <c r="L25" s="48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4129.82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2084.1800000000003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521.04500000000007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281.04500000000007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697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1">
        <v>43221</v>
      </c>
      <c r="B3" s="7" t="s">
        <v>6</v>
      </c>
      <c r="C3" s="1" t="s">
        <v>359</v>
      </c>
      <c r="D3" s="8">
        <v>1183.5</v>
      </c>
      <c r="E3" s="9"/>
      <c r="F3" s="54" t="s">
        <v>698</v>
      </c>
      <c r="G3" s="11"/>
      <c r="H3" s="11"/>
      <c r="I3" s="11"/>
      <c r="J3" s="11"/>
      <c r="K3" s="11"/>
      <c r="L3" s="11"/>
      <c r="M3" s="11"/>
      <c r="N3" s="11"/>
    </row>
    <row r="4" spans="1:14">
      <c r="A4" s="51">
        <v>43221</v>
      </c>
      <c r="B4" s="7" t="s">
        <v>10</v>
      </c>
      <c r="C4" s="1" t="s">
        <v>13</v>
      </c>
      <c r="D4" s="12">
        <v>135</v>
      </c>
      <c r="E4" s="9"/>
      <c r="F4" s="42" t="s">
        <v>699</v>
      </c>
      <c r="G4" s="11"/>
      <c r="H4" s="11"/>
      <c r="I4" s="11"/>
      <c r="J4" s="11"/>
      <c r="K4" s="11"/>
      <c r="L4" s="11"/>
      <c r="M4" s="11"/>
      <c r="N4" s="11"/>
    </row>
    <row r="5" spans="1:14">
      <c r="A5" s="51">
        <v>43227</v>
      </c>
      <c r="B5" s="7" t="s">
        <v>18</v>
      </c>
      <c r="C5" s="1" t="s">
        <v>19</v>
      </c>
      <c r="D5" s="12">
        <v>259.58</v>
      </c>
      <c r="E5" s="12"/>
      <c r="F5">
        <v>131912602</v>
      </c>
      <c r="G5" s="11"/>
      <c r="H5" s="9"/>
      <c r="I5" s="11"/>
      <c r="J5" s="11"/>
      <c r="K5" s="11"/>
      <c r="L5" s="11"/>
      <c r="M5" s="11"/>
      <c r="N5" s="11"/>
    </row>
    <row r="6" spans="1:14">
      <c r="A6" s="51">
        <v>43227</v>
      </c>
      <c r="B6" s="7" t="s">
        <v>581</v>
      </c>
      <c r="C6" s="1" t="s">
        <v>582</v>
      </c>
      <c r="D6" s="12">
        <v>125.34</v>
      </c>
      <c r="E6" s="9"/>
      <c r="F6" s="18" t="s">
        <v>700</v>
      </c>
      <c r="G6" s="7"/>
      <c r="H6" s="7"/>
      <c r="I6" s="7"/>
      <c r="J6" s="7"/>
      <c r="K6" s="7"/>
      <c r="L6" s="7"/>
      <c r="M6" s="7"/>
      <c r="N6" s="7"/>
    </row>
    <row r="7" spans="1:14">
      <c r="A7" s="51">
        <v>43232</v>
      </c>
      <c r="B7" s="7" t="s">
        <v>155</v>
      </c>
      <c r="C7" s="1" t="s">
        <v>16</v>
      </c>
      <c r="D7" s="12">
        <v>61</v>
      </c>
      <c r="E7" s="12"/>
      <c r="F7" t="s">
        <v>701</v>
      </c>
      <c r="G7" s="11"/>
      <c r="H7" s="11"/>
      <c r="I7" s="11"/>
      <c r="J7" s="11"/>
      <c r="K7" s="11"/>
      <c r="L7" s="11"/>
      <c r="M7" s="11"/>
      <c r="N7" s="11"/>
    </row>
    <row r="8" spans="1:14">
      <c r="A8" s="51" t="s">
        <v>9</v>
      </c>
      <c r="B8" s="7" t="s">
        <v>21</v>
      </c>
      <c r="C8" s="1" t="s">
        <v>671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51">
        <v>43232</v>
      </c>
      <c r="B9" s="7" t="s">
        <v>21</v>
      </c>
      <c r="C9" s="1" t="s">
        <v>23</v>
      </c>
      <c r="D9" s="12">
        <v>293.8</v>
      </c>
      <c r="E9" s="9"/>
      <c r="F9" s="18" t="s">
        <v>702</v>
      </c>
      <c r="G9" s="1"/>
      <c r="H9" s="1"/>
      <c r="I9" s="1"/>
      <c r="J9" s="1"/>
      <c r="K9" s="1"/>
      <c r="L9" s="1"/>
      <c r="M9" s="1"/>
      <c r="N9" s="1"/>
    </row>
    <row r="10" spans="1:14">
      <c r="A10" s="51" t="s">
        <v>9</v>
      </c>
      <c r="B10" s="7" t="s">
        <v>21</v>
      </c>
      <c r="C10" s="1" t="s">
        <v>25</v>
      </c>
      <c r="D10" s="12">
        <v>30.25</v>
      </c>
      <c r="E10" s="16"/>
      <c r="F10" s="45"/>
      <c r="G10" s="11"/>
      <c r="H10" s="11"/>
      <c r="I10" s="11"/>
      <c r="J10" s="11"/>
      <c r="K10" s="11"/>
      <c r="L10" s="11"/>
      <c r="M10" s="11"/>
      <c r="N10" s="11"/>
    </row>
    <row r="11" spans="1:14">
      <c r="A11" s="51">
        <v>43232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51">
        <v>43232</v>
      </c>
      <c r="B12" s="7" t="s">
        <v>21</v>
      </c>
      <c r="C12" s="1" t="s">
        <v>548</v>
      </c>
      <c r="D12" s="12">
        <v>297</v>
      </c>
      <c r="E12" s="16"/>
      <c r="F12" s="50">
        <v>32756866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51">
        <v>43232</v>
      </c>
      <c r="B13" s="7" t="s">
        <v>105</v>
      </c>
      <c r="C13" s="1" t="s">
        <v>186</v>
      </c>
      <c r="D13" s="12">
        <v>53.1</v>
      </c>
      <c r="E13" s="12"/>
      <c r="F13" s="18" t="s">
        <v>703</v>
      </c>
      <c r="G13" s="35"/>
      <c r="H13" s="1"/>
      <c r="I13" s="1"/>
      <c r="J13" s="1"/>
      <c r="K13" s="1"/>
      <c r="L13" s="1"/>
      <c r="M13" s="1"/>
      <c r="N13" s="1"/>
    </row>
    <row r="14" spans="1:14">
      <c r="A14" s="51">
        <v>43232</v>
      </c>
      <c r="B14" s="7" t="s">
        <v>27</v>
      </c>
      <c r="C14" s="1" t="s">
        <v>28</v>
      </c>
      <c r="D14" s="12">
        <v>62.45</v>
      </c>
      <c r="E14" s="9"/>
      <c r="F14" s="44" t="s">
        <v>704</v>
      </c>
      <c r="G14" s="11"/>
      <c r="H14" s="11"/>
      <c r="I14" s="11"/>
      <c r="J14" s="11"/>
      <c r="K14" s="11"/>
      <c r="L14" s="11"/>
      <c r="M14" s="11"/>
      <c r="N14" s="11"/>
    </row>
    <row r="15" spans="1:14">
      <c r="A15" s="51" t="s">
        <v>9</v>
      </c>
      <c r="B15" s="7" t="s">
        <v>27</v>
      </c>
      <c r="C15" s="1" t="s">
        <v>333</v>
      </c>
      <c r="D15" s="12">
        <v>64</v>
      </c>
      <c r="E15" s="9"/>
      <c r="F15" s="10"/>
      <c r="G15" s="20"/>
      <c r="H15" s="11"/>
      <c r="I15" s="11"/>
      <c r="J15" s="11"/>
      <c r="K15" s="11"/>
      <c r="L15" s="11"/>
      <c r="M15" s="11"/>
      <c r="N15" s="11"/>
    </row>
    <row r="16" spans="1:14">
      <c r="A16" s="51">
        <v>43246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51">
        <v>43246</v>
      </c>
      <c r="B17" s="7" t="s">
        <v>367</v>
      </c>
      <c r="C17" s="1" t="s">
        <v>35</v>
      </c>
      <c r="D17" s="12">
        <v>161</v>
      </c>
      <c r="E17" s="9"/>
      <c r="F17" s="17" t="s">
        <v>705</v>
      </c>
      <c r="G17" s="7"/>
      <c r="H17" s="7"/>
      <c r="I17" s="7"/>
      <c r="J17" s="7"/>
      <c r="K17" s="7"/>
      <c r="L17" s="7"/>
      <c r="M17" s="7"/>
      <c r="N17" s="7"/>
    </row>
    <row r="18" spans="1:14">
      <c r="A18" s="52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52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52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51">
        <v>43227</v>
      </c>
      <c r="B21" s="1" t="s">
        <v>45</v>
      </c>
      <c r="C21" s="1" t="s">
        <v>258</v>
      </c>
      <c r="D21" s="12">
        <v>0</v>
      </c>
      <c r="E21" s="1"/>
      <c r="F21" s="18" t="s">
        <v>706</v>
      </c>
      <c r="G21" s="1"/>
      <c r="H21" s="1"/>
      <c r="I21" s="1"/>
      <c r="J21" s="1"/>
      <c r="K21" s="1"/>
      <c r="L21" s="1"/>
      <c r="M21" s="1"/>
      <c r="N21" s="1"/>
    </row>
    <row r="22" spans="1:14">
      <c r="A22" s="51">
        <v>43227</v>
      </c>
      <c r="B22" s="1" t="s">
        <v>45</v>
      </c>
      <c r="C22" s="1" t="s">
        <v>46</v>
      </c>
      <c r="D22" s="12">
        <v>25</v>
      </c>
      <c r="E22" s="1"/>
      <c r="F22" s="18" t="s">
        <v>707</v>
      </c>
      <c r="G22" s="1"/>
      <c r="H22" s="1"/>
      <c r="I22" s="1"/>
      <c r="J22" s="1"/>
      <c r="K22" s="1"/>
      <c r="L22" s="1"/>
      <c r="M22" s="1"/>
      <c r="N22" s="1"/>
    </row>
    <row r="23" spans="1:14">
      <c r="A23" s="51">
        <v>43232</v>
      </c>
      <c r="B23" s="1" t="s">
        <v>48</v>
      </c>
      <c r="C23" s="1" t="s">
        <v>49</v>
      </c>
      <c r="D23" s="12">
        <v>369</v>
      </c>
      <c r="E23" s="1"/>
      <c r="F23" s="45">
        <v>609570</v>
      </c>
      <c r="H23" s="1"/>
      <c r="I23" s="1"/>
      <c r="J23" s="1"/>
      <c r="K23" s="1"/>
      <c r="L23" s="1"/>
      <c r="M23" s="1"/>
      <c r="N23" s="1"/>
    </row>
    <row r="24" spans="1:14">
      <c r="A24" s="51">
        <v>43232</v>
      </c>
      <c r="B24" s="1" t="s">
        <v>27</v>
      </c>
      <c r="C24" s="1" t="s">
        <v>43</v>
      </c>
      <c r="D24" s="12">
        <v>232</v>
      </c>
      <c r="E24" s="1"/>
      <c r="F24" s="37">
        <v>327235979</v>
      </c>
      <c r="G24" s="1"/>
      <c r="H24" s="1"/>
      <c r="I24" s="1"/>
      <c r="J24" s="1"/>
      <c r="K24" s="1"/>
      <c r="L24" s="1"/>
      <c r="M24" s="1"/>
      <c r="N24" s="1"/>
    </row>
    <row r="25" spans="1:14">
      <c r="A25" s="51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4129.82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2084.1800000000003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521.04500000000007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281.04500000000007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708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1">
        <v>43251</v>
      </c>
      <c r="B3" s="7" t="s">
        <v>6</v>
      </c>
      <c r="C3" s="1" t="s">
        <v>359</v>
      </c>
      <c r="D3" s="8">
        <v>1183.5</v>
      </c>
      <c r="E3" s="9"/>
      <c r="F3" s="54" t="s">
        <v>709</v>
      </c>
      <c r="G3" s="11"/>
      <c r="H3" s="11"/>
      <c r="I3" s="11"/>
      <c r="J3" s="11"/>
      <c r="K3" s="11"/>
      <c r="L3" s="11"/>
      <c r="M3" s="11"/>
      <c r="N3" s="11"/>
    </row>
    <row r="4" spans="1:14">
      <c r="A4" s="51">
        <v>43251</v>
      </c>
      <c r="B4" s="7" t="s">
        <v>10</v>
      </c>
      <c r="C4" s="1" t="s">
        <v>13</v>
      </c>
      <c r="D4" s="12">
        <v>135</v>
      </c>
      <c r="E4" s="9"/>
      <c r="F4" s="42" t="s">
        <v>710</v>
      </c>
      <c r="G4" s="11"/>
      <c r="H4" s="11"/>
      <c r="I4" s="11"/>
      <c r="J4" s="11"/>
      <c r="K4" s="11"/>
      <c r="L4" s="11"/>
      <c r="M4" s="11"/>
      <c r="N4" s="11"/>
    </row>
    <row r="5" spans="1:14">
      <c r="A5" s="51" t="s">
        <v>9</v>
      </c>
      <c r="B5" s="7" t="s">
        <v>18</v>
      </c>
      <c r="C5" s="1" t="s">
        <v>19</v>
      </c>
      <c r="D5" s="12">
        <v>393.93</v>
      </c>
      <c r="E5" s="12"/>
      <c r="G5" s="11"/>
      <c r="H5" s="9"/>
      <c r="I5" s="9"/>
      <c r="J5" s="11"/>
      <c r="K5" s="11"/>
      <c r="L5" s="11"/>
      <c r="M5" s="11"/>
      <c r="N5" s="11"/>
    </row>
    <row r="6" spans="1:14">
      <c r="A6" s="51">
        <v>43254</v>
      </c>
      <c r="B6" s="7" t="s">
        <v>581</v>
      </c>
      <c r="C6" s="1" t="s">
        <v>582</v>
      </c>
      <c r="D6" s="12">
        <v>125.34</v>
      </c>
      <c r="E6" s="9"/>
      <c r="F6" s="18" t="s">
        <v>711</v>
      </c>
      <c r="G6" s="7"/>
      <c r="H6" s="7"/>
      <c r="I6" s="7"/>
      <c r="J6" s="7"/>
      <c r="K6" s="7"/>
      <c r="L6" s="7"/>
      <c r="M6" s="7"/>
      <c r="N6" s="7"/>
    </row>
    <row r="7" spans="1:14">
      <c r="A7" s="51">
        <v>43260</v>
      </c>
      <c r="B7" s="7" t="s">
        <v>155</v>
      </c>
      <c r="C7" s="1" t="s">
        <v>16</v>
      </c>
      <c r="D7" s="12">
        <v>61</v>
      </c>
      <c r="E7" s="12"/>
      <c r="F7" t="s">
        <v>712</v>
      </c>
      <c r="G7" s="11"/>
      <c r="H7" s="11"/>
      <c r="I7" s="11"/>
      <c r="J7" s="11"/>
      <c r="K7" s="11"/>
      <c r="L7" s="11"/>
      <c r="M7" s="11"/>
      <c r="N7" s="11"/>
    </row>
    <row r="8" spans="1:14">
      <c r="A8" s="51" t="s">
        <v>9</v>
      </c>
      <c r="B8" s="7" t="s">
        <v>21</v>
      </c>
      <c r="C8" s="1" t="s">
        <v>671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51">
        <v>43260</v>
      </c>
      <c r="B9" s="7" t="s">
        <v>21</v>
      </c>
      <c r="C9" s="1" t="s">
        <v>23</v>
      </c>
      <c r="D9" s="12">
        <v>293.8</v>
      </c>
      <c r="E9" s="9"/>
      <c r="F9" s="18" t="s">
        <v>713</v>
      </c>
      <c r="G9" s="1"/>
      <c r="H9" s="1"/>
      <c r="I9" s="1"/>
      <c r="J9" s="1"/>
      <c r="K9" s="1"/>
      <c r="L9" s="1"/>
      <c r="M9" s="1"/>
      <c r="N9" s="1"/>
    </row>
    <row r="10" spans="1:14">
      <c r="A10" s="51">
        <v>43260</v>
      </c>
      <c r="B10" s="7" t="s">
        <v>21</v>
      </c>
      <c r="C10" s="1" t="s">
        <v>25</v>
      </c>
      <c r="D10" s="12">
        <v>30.25</v>
      </c>
      <c r="E10" s="16"/>
      <c r="F10" s="45" t="s">
        <v>714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51">
        <v>43260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51">
        <v>43260</v>
      </c>
      <c r="B12" s="7" t="s">
        <v>21</v>
      </c>
      <c r="C12" s="1" t="s">
        <v>548</v>
      </c>
      <c r="D12" s="12">
        <v>297</v>
      </c>
      <c r="E12" s="16"/>
      <c r="F12" s="50"/>
      <c r="G12" s="11"/>
      <c r="H12" s="11"/>
      <c r="I12" s="11"/>
      <c r="J12" s="11"/>
      <c r="K12" s="11"/>
      <c r="L12" s="11"/>
      <c r="M12" s="11"/>
      <c r="N12" s="11"/>
    </row>
    <row r="13" spans="1:14">
      <c r="A13" s="51">
        <v>43260</v>
      </c>
      <c r="B13" s="7" t="s">
        <v>27</v>
      </c>
      <c r="C13" s="1" t="s">
        <v>28</v>
      </c>
      <c r="D13" s="12">
        <v>62.45</v>
      </c>
      <c r="E13" s="9"/>
      <c r="F13" s="44" t="s">
        <v>715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51" t="s">
        <v>9</v>
      </c>
      <c r="B14" s="7" t="s">
        <v>27</v>
      </c>
      <c r="C14" s="1" t="s">
        <v>333</v>
      </c>
      <c r="D14" s="12">
        <v>64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51">
        <v>43260</v>
      </c>
      <c r="B15" s="7" t="s">
        <v>105</v>
      </c>
      <c r="C15" s="1" t="s">
        <v>186</v>
      </c>
      <c r="D15" s="12">
        <v>53.1</v>
      </c>
      <c r="E15" s="12"/>
      <c r="F15" s="18" t="s">
        <v>716</v>
      </c>
      <c r="G15" s="35"/>
      <c r="H15" s="1"/>
      <c r="I15" s="1"/>
      <c r="J15" s="1"/>
      <c r="K15" s="1"/>
      <c r="L15" s="1"/>
      <c r="M15" s="1"/>
      <c r="N15" s="1"/>
    </row>
    <row r="16" spans="1:14">
      <c r="A16" s="51"/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51">
        <v>43274</v>
      </c>
      <c r="B17" s="7" t="s">
        <v>367</v>
      </c>
      <c r="C17" s="1" t="s">
        <v>35</v>
      </c>
      <c r="D17" s="12">
        <v>161</v>
      </c>
      <c r="E17" s="9"/>
      <c r="F17" s="17" t="s">
        <v>717</v>
      </c>
      <c r="G17" s="7"/>
      <c r="H17" s="7"/>
      <c r="I17" s="7"/>
      <c r="J17" s="7"/>
      <c r="K17" s="7"/>
      <c r="L17" s="7"/>
      <c r="M17" s="7"/>
      <c r="N17" s="7"/>
    </row>
    <row r="18" spans="1:14">
      <c r="A18" s="52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52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52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51">
        <v>43254</v>
      </c>
      <c r="B21" s="1" t="s">
        <v>45</v>
      </c>
      <c r="C21" s="1" t="s">
        <v>258</v>
      </c>
      <c r="D21" s="12">
        <v>0</v>
      </c>
      <c r="E21" s="1"/>
      <c r="F21" s="18" t="s">
        <v>718</v>
      </c>
      <c r="G21" s="1"/>
      <c r="H21" s="1"/>
      <c r="I21" s="1"/>
      <c r="J21" s="1"/>
      <c r="K21" s="1"/>
      <c r="L21" s="1"/>
      <c r="M21" s="1"/>
      <c r="N21" s="1"/>
    </row>
    <row r="22" spans="1:14">
      <c r="A22" s="51">
        <v>43254</v>
      </c>
      <c r="B22" s="1" t="s">
        <v>45</v>
      </c>
      <c r="C22" s="1" t="s">
        <v>46</v>
      </c>
      <c r="D22" s="12">
        <v>25</v>
      </c>
      <c r="E22" s="1"/>
      <c r="F22" s="55">
        <v>428829</v>
      </c>
      <c r="G22" s="1"/>
      <c r="H22" s="1"/>
      <c r="I22" s="1"/>
      <c r="J22" s="1"/>
      <c r="K22" s="1"/>
      <c r="L22" s="1"/>
      <c r="M22" s="1"/>
      <c r="N22" s="1"/>
    </row>
    <row r="23" spans="1:14">
      <c r="A23" s="51">
        <v>43260</v>
      </c>
      <c r="B23" s="1" t="s">
        <v>48</v>
      </c>
      <c r="C23" s="1" t="s">
        <v>49</v>
      </c>
      <c r="D23" s="12">
        <v>369</v>
      </c>
      <c r="E23" s="1"/>
      <c r="F23" s="45">
        <v>816604</v>
      </c>
      <c r="H23" s="1"/>
      <c r="I23" s="1"/>
      <c r="J23" s="1"/>
      <c r="K23" s="1"/>
      <c r="L23" s="1"/>
      <c r="M23" s="1"/>
      <c r="N23" s="1"/>
    </row>
    <row r="24" spans="1:14">
      <c r="A24" s="51">
        <v>43260</v>
      </c>
      <c r="B24" s="1" t="s">
        <v>27</v>
      </c>
      <c r="C24" s="1" t="s">
        <v>43</v>
      </c>
      <c r="D24" s="12">
        <v>232</v>
      </c>
      <c r="E24" s="1"/>
      <c r="F24" s="37">
        <v>330195983</v>
      </c>
      <c r="G24" s="1"/>
      <c r="H24" s="1"/>
      <c r="I24" s="1"/>
      <c r="J24" s="1"/>
      <c r="K24" s="1"/>
      <c r="L24" s="1"/>
      <c r="M24" s="1"/>
      <c r="N24" s="1"/>
    </row>
    <row r="25" spans="1:14">
      <c r="A25" s="51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s="53">
        <v>43251</v>
      </c>
      <c r="B26" s="1" t="s">
        <v>38</v>
      </c>
      <c r="C26" s="1" t="s">
        <v>39</v>
      </c>
      <c r="D26" s="23">
        <v>0</v>
      </c>
      <c r="E26" s="1"/>
      <c r="F26" s="24" t="s">
        <v>719</v>
      </c>
      <c r="G26" s="1"/>
      <c r="H26" s="1"/>
      <c r="I26" s="1"/>
      <c r="J26" s="1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4264.17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1949.83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487.45749999999998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247.45749999999998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114" t="s">
        <v>720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1">
        <v>43283</v>
      </c>
      <c r="B3" s="7" t="s">
        <v>6</v>
      </c>
      <c r="C3" s="1" t="s">
        <v>359</v>
      </c>
      <c r="D3" s="8">
        <v>1183.5</v>
      </c>
      <c r="E3" s="9"/>
      <c r="F3" s="54" t="s">
        <v>721</v>
      </c>
      <c r="G3" s="11"/>
      <c r="H3" s="11"/>
      <c r="I3" s="11"/>
      <c r="J3" s="11"/>
      <c r="K3" s="11"/>
      <c r="L3" s="11"/>
      <c r="M3" s="11"/>
      <c r="N3" s="11"/>
    </row>
    <row r="4" spans="1:14">
      <c r="A4" s="51">
        <v>43283</v>
      </c>
      <c r="B4" s="7" t="s">
        <v>10</v>
      </c>
      <c r="C4" s="1" t="s">
        <v>13</v>
      </c>
      <c r="D4" s="12">
        <v>135</v>
      </c>
      <c r="E4" s="9"/>
      <c r="F4" s="42" t="s">
        <v>722</v>
      </c>
      <c r="G4" s="11"/>
      <c r="H4" s="11"/>
      <c r="I4" s="11"/>
      <c r="J4" s="11"/>
      <c r="K4" s="11"/>
      <c r="L4" s="11"/>
      <c r="M4" s="11"/>
      <c r="N4" s="11"/>
    </row>
    <row r="5" spans="1:14">
      <c r="A5" s="51" t="s">
        <v>9</v>
      </c>
      <c r="B5" s="7" t="s">
        <v>18</v>
      </c>
      <c r="C5" s="1" t="s">
        <v>19</v>
      </c>
      <c r="D5" s="12">
        <v>393.93</v>
      </c>
      <c r="E5" s="12"/>
      <c r="G5" s="11"/>
      <c r="H5" s="9"/>
      <c r="I5" s="9"/>
      <c r="J5" s="11"/>
      <c r="K5" s="11"/>
      <c r="L5" s="11"/>
      <c r="M5" s="11"/>
      <c r="N5" s="11"/>
    </row>
    <row r="6" spans="1:14">
      <c r="A6" s="51">
        <v>43288</v>
      </c>
      <c r="B6" s="7" t="s">
        <v>581</v>
      </c>
      <c r="C6" s="1" t="s">
        <v>582</v>
      </c>
      <c r="D6" s="12">
        <v>125.34</v>
      </c>
      <c r="E6" s="9"/>
      <c r="F6" s="18" t="s">
        <v>723</v>
      </c>
      <c r="G6" s="7"/>
      <c r="H6" s="7"/>
      <c r="I6" s="7"/>
      <c r="J6" s="7"/>
      <c r="K6" s="7"/>
      <c r="L6" s="7"/>
      <c r="M6" s="7"/>
      <c r="N6" s="7"/>
    </row>
    <row r="7" spans="1:14">
      <c r="A7" s="51">
        <v>43288</v>
      </c>
      <c r="B7" s="7" t="s">
        <v>155</v>
      </c>
      <c r="C7" s="1" t="s">
        <v>16</v>
      </c>
      <c r="D7" s="12">
        <v>61</v>
      </c>
      <c r="E7" s="12"/>
      <c r="F7" t="s">
        <v>724</v>
      </c>
      <c r="G7" s="11"/>
      <c r="H7" s="11"/>
      <c r="I7" s="11"/>
      <c r="J7" s="11"/>
      <c r="K7" s="11"/>
      <c r="L7" s="11"/>
      <c r="M7" s="11"/>
      <c r="N7" s="11"/>
    </row>
    <row r="8" spans="1:14">
      <c r="A8" s="51" t="s">
        <v>9</v>
      </c>
      <c r="B8" s="7" t="s">
        <v>21</v>
      </c>
      <c r="C8" s="1" t="s">
        <v>671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51">
        <v>43291</v>
      </c>
      <c r="B9" s="7" t="s">
        <v>21</v>
      </c>
      <c r="C9" s="1" t="s">
        <v>23</v>
      </c>
      <c r="D9" s="12">
        <v>293.8</v>
      </c>
      <c r="E9" s="9"/>
      <c r="F9" s="18" t="s">
        <v>725</v>
      </c>
      <c r="G9" s="1"/>
      <c r="H9" s="1"/>
      <c r="I9" s="1"/>
      <c r="J9" s="1"/>
      <c r="K9" s="1"/>
      <c r="L9" s="1"/>
      <c r="M9" s="1"/>
      <c r="N9" s="1"/>
    </row>
    <row r="10" spans="1:14">
      <c r="A10" s="51" t="s">
        <v>9</v>
      </c>
      <c r="B10" s="7" t="s">
        <v>21</v>
      </c>
      <c r="C10" s="1" t="s">
        <v>25</v>
      </c>
      <c r="D10" s="12">
        <v>30.25</v>
      </c>
      <c r="E10" s="16"/>
      <c r="F10" s="45"/>
      <c r="G10" s="11"/>
      <c r="H10" s="11"/>
      <c r="I10" s="11"/>
      <c r="J10" s="11"/>
      <c r="K10" s="11"/>
      <c r="L10" s="11"/>
      <c r="M10" s="11"/>
      <c r="N10" s="11"/>
    </row>
    <row r="11" spans="1:14">
      <c r="A11" s="51">
        <v>43291</v>
      </c>
      <c r="B11" s="7" t="s">
        <v>21</v>
      </c>
      <c r="C11" s="1" t="s">
        <v>209</v>
      </c>
      <c r="D11" s="12">
        <v>494.14</v>
      </c>
      <c r="E11" s="16"/>
      <c r="F11" s="19"/>
      <c r="G11" s="11"/>
      <c r="H11" s="11"/>
      <c r="I11" s="11"/>
      <c r="J11" s="11"/>
      <c r="K11" s="11"/>
      <c r="L11" s="11"/>
      <c r="M11" s="11"/>
      <c r="N11" s="11"/>
    </row>
    <row r="12" spans="1:14">
      <c r="A12" s="51">
        <v>43291</v>
      </c>
      <c r="B12" s="7" t="s">
        <v>21</v>
      </c>
      <c r="C12" s="1" t="s">
        <v>548</v>
      </c>
      <c r="D12" s="12">
        <v>297</v>
      </c>
      <c r="E12" s="16"/>
      <c r="F12" s="50">
        <v>35053858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51">
        <v>43288</v>
      </c>
      <c r="B13" s="7" t="s">
        <v>27</v>
      </c>
      <c r="C13" s="1" t="s">
        <v>28</v>
      </c>
      <c r="D13" s="12">
        <v>62.45</v>
      </c>
      <c r="E13" s="9"/>
      <c r="F13" s="44" t="s">
        <v>726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51" t="s">
        <v>9</v>
      </c>
      <c r="B14" s="7" t="s">
        <v>27</v>
      </c>
      <c r="C14" s="1" t="s">
        <v>333</v>
      </c>
      <c r="D14" s="12">
        <v>64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51">
        <v>43294</v>
      </c>
      <c r="B15" s="7" t="s">
        <v>105</v>
      </c>
      <c r="C15" s="1" t="s">
        <v>186</v>
      </c>
      <c r="D15" s="12">
        <v>53.1</v>
      </c>
      <c r="E15" s="12"/>
      <c r="F15" s="18" t="s">
        <v>727</v>
      </c>
      <c r="G15" s="35"/>
      <c r="H15" s="1"/>
      <c r="I15" s="1"/>
      <c r="J15" s="1"/>
      <c r="K15" s="1"/>
      <c r="L15" s="1"/>
      <c r="M15" s="1"/>
      <c r="N15" s="1"/>
    </row>
    <row r="16" spans="1:14">
      <c r="A16" s="51">
        <v>43302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51">
        <v>43302</v>
      </c>
      <c r="B17" s="7" t="s">
        <v>367</v>
      </c>
      <c r="C17" s="1" t="s">
        <v>35</v>
      </c>
      <c r="D17" s="12">
        <v>161</v>
      </c>
      <c r="E17" s="9"/>
      <c r="F17" s="17" t="s">
        <v>728</v>
      </c>
      <c r="G17" s="7"/>
      <c r="H17" s="7"/>
      <c r="I17" s="7"/>
      <c r="J17" s="7"/>
      <c r="K17" s="7"/>
      <c r="L17" s="7"/>
      <c r="M17" s="7"/>
      <c r="N17" s="7"/>
    </row>
    <row r="18" spans="1:14">
      <c r="A18" s="52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52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52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51">
        <v>43288</v>
      </c>
      <c r="B21" s="1" t="s">
        <v>45</v>
      </c>
      <c r="C21" s="1" t="s">
        <v>258</v>
      </c>
      <c r="D21" s="12">
        <v>0</v>
      </c>
      <c r="E21" s="1"/>
      <c r="F21" s="18" t="s">
        <v>729</v>
      </c>
      <c r="G21" s="1"/>
      <c r="H21" s="1"/>
      <c r="I21" s="1"/>
      <c r="J21" s="1"/>
      <c r="K21" s="1"/>
      <c r="L21" s="1"/>
      <c r="M21" s="1"/>
      <c r="N21" s="1"/>
    </row>
    <row r="22" spans="1:14">
      <c r="A22" s="51">
        <v>43288</v>
      </c>
      <c r="B22" s="1" t="s">
        <v>45</v>
      </c>
      <c r="C22" s="1" t="s">
        <v>46</v>
      </c>
      <c r="D22" s="12">
        <v>25</v>
      </c>
      <c r="E22" s="1"/>
      <c r="F22" s="55">
        <v>310627</v>
      </c>
      <c r="G22" s="1"/>
      <c r="H22" s="1"/>
      <c r="I22" s="1"/>
      <c r="J22" s="1"/>
      <c r="K22" s="1"/>
      <c r="L22" s="1"/>
      <c r="M22" s="1"/>
      <c r="N22" s="1"/>
    </row>
    <row r="23" spans="1:14">
      <c r="A23" s="51">
        <v>43283</v>
      </c>
      <c r="B23" s="1" t="s">
        <v>48</v>
      </c>
      <c r="C23" s="1" t="s">
        <v>49</v>
      </c>
      <c r="D23" s="12">
        <v>369</v>
      </c>
      <c r="E23" s="1"/>
      <c r="F23" s="45">
        <v>564400</v>
      </c>
      <c r="G23">
        <v>937568</v>
      </c>
      <c r="H23" s="1"/>
      <c r="I23" s="1"/>
      <c r="J23" s="1"/>
      <c r="K23" s="1"/>
      <c r="L23" s="1"/>
      <c r="M23" s="1"/>
      <c r="N23" s="1"/>
    </row>
    <row r="24" spans="1:14">
      <c r="A24" s="51">
        <v>43294</v>
      </c>
      <c r="B24" s="1" t="s">
        <v>27</v>
      </c>
      <c r="C24" s="1" t="s">
        <v>43</v>
      </c>
      <c r="D24" s="12">
        <v>232</v>
      </c>
      <c r="E24" s="1"/>
      <c r="F24" s="37">
        <v>333869848</v>
      </c>
      <c r="G24" s="1"/>
      <c r="H24" s="1"/>
      <c r="I24" s="1"/>
      <c r="J24" s="1"/>
      <c r="K24" s="1"/>
      <c r="L24" s="1"/>
      <c r="M24" s="1"/>
      <c r="N24" s="1"/>
    </row>
    <row r="25" spans="1:14">
      <c r="A25" s="51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4264.17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5914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1949.83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487.45749999999998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247.45749999999998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25.28515625" customWidth="1"/>
    <col min="7" max="7" width="19" customWidth="1"/>
    <col min="8" max="1025" width="8.7109375" customWidth="1"/>
  </cols>
  <sheetData>
    <row r="1" spans="1:14" ht="20.25">
      <c r="A1" s="114" t="s">
        <v>730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1">
        <v>43312</v>
      </c>
      <c r="B3" s="7" t="s">
        <v>6</v>
      </c>
      <c r="C3" s="1" t="s">
        <v>359</v>
      </c>
      <c r="D3" s="8">
        <v>1183.5</v>
      </c>
      <c r="E3" s="9"/>
      <c r="F3" s="54" t="s">
        <v>731</v>
      </c>
      <c r="G3" s="11"/>
      <c r="H3" s="11"/>
      <c r="I3" s="11"/>
      <c r="J3" s="11"/>
      <c r="K3" s="11"/>
      <c r="L3" s="11"/>
      <c r="M3" s="11"/>
      <c r="N3" s="11"/>
    </row>
    <row r="4" spans="1:14">
      <c r="A4" s="51" t="s">
        <v>9</v>
      </c>
      <c r="B4" s="7" t="s">
        <v>10</v>
      </c>
      <c r="C4" s="1" t="s">
        <v>13</v>
      </c>
      <c r="D4" s="12">
        <v>165</v>
      </c>
      <c r="E4" s="9"/>
      <c r="F4" s="42"/>
      <c r="G4" s="11"/>
      <c r="H4" s="11"/>
      <c r="I4" s="11"/>
      <c r="J4" s="11"/>
      <c r="K4" s="11"/>
      <c r="L4" s="11"/>
      <c r="M4" s="11"/>
      <c r="N4" s="11"/>
    </row>
    <row r="5" spans="1:14">
      <c r="A5" s="51">
        <v>43319</v>
      </c>
      <c r="B5" s="7" t="s">
        <v>18</v>
      </c>
      <c r="C5" s="1" t="s">
        <v>19</v>
      </c>
      <c r="D5" s="12">
        <v>393.93</v>
      </c>
      <c r="E5" s="12"/>
      <c r="F5">
        <v>137313600</v>
      </c>
      <c r="G5" s="11"/>
      <c r="H5" s="9"/>
      <c r="I5" s="9"/>
      <c r="J5" s="11"/>
      <c r="K5" s="11"/>
      <c r="L5" s="11"/>
      <c r="M5" s="11"/>
      <c r="N5" s="11"/>
    </row>
    <row r="6" spans="1:14">
      <c r="A6" s="51">
        <v>43319</v>
      </c>
      <c r="B6" s="7" t="s">
        <v>581</v>
      </c>
      <c r="C6" s="1" t="s">
        <v>582</v>
      </c>
      <c r="D6" s="12">
        <v>125.34</v>
      </c>
      <c r="E6" s="9"/>
      <c r="F6" s="18" t="s">
        <v>732</v>
      </c>
      <c r="G6" s="7"/>
      <c r="H6" s="7"/>
      <c r="I6" s="7"/>
      <c r="J6" s="7"/>
      <c r="K6" s="7"/>
      <c r="L6" s="7"/>
      <c r="M6" s="7"/>
      <c r="N6" s="7"/>
    </row>
    <row r="7" spans="1:14">
      <c r="A7" s="51">
        <v>43319</v>
      </c>
      <c r="B7" s="7" t="s">
        <v>155</v>
      </c>
      <c r="C7" s="1" t="s">
        <v>16</v>
      </c>
      <c r="D7" s="12">
        <v>61</v>
      </c>
      <c r="E7" s="12"/>
      <c r="F7" t="s">
        <v>733</v>
      </c>
      <c r="G7" s="11"/>
      <c r="H7" s="11"/>
      <c r="I7" s="11"/>
      <c r="J7" s="11"/>
      <c r="K7" s="11"/>
      <c r="L7" s="11"/>
      <c r="M7" s="11"/>
      <c r="N7" s="11"/>
    </row>
    <row r="8" spans="1:14">
      <c r="A8" s="51">
        <v>43330</v>
      </c>
      <c r="B8" s="7" t="s">
        <v>21</v>
      </c>
      <c r="C8" s="1" t="s">
        <v>734</v>
      </c>
      <c r="D8" s="12">
        <v>0</v>
      </c>
      <c r="E8" s="9"/>
      <c r="F8" s="36"/>
      <c r="G8" s="16"/>
      <c r="H8" s="7"/>
      <c r="I8" s="7"/>
      <c r="J8" s="7"/>
      <c r="K8" s="7"/>
      <c r="L8" s="7"/>
      <c r="M8" s="7"/>
      <c r="N8" s="7"/>
    </row>
    <row r="9" spans="1:14">
      <c r="A9" s="51">
        <v>43319</v>
      </c>
      <c r="B9" s="7" t="s">
        <v>21</v>
      </c>
      <c r="C9" s="1" t="s">
        <v>23</v>
      </c>
      <c r="D9" s="12">
        <v>293.8</v>
      </c>
      <c r="E9" s="9"/>
      <c r="F9" s="18" t="s">
        <v>735</v>
      </c>
      <c r="G9" s="1"/>
      <c r="H9" s="1"/>
      <c r="I9" s="1"/>
      <c r="J9" s="1"/>
      <c r="K9" s="1"/>
      <c r="L9" s="1"/>
      <c r="M9" s="1"/>
      <c r="N9" s="1"/>
    </row>
    <row r="10" spans="1:14">
      <c r="A10" s="51">
        <v>43319</v>
      </c>
      <c r="B10" s="7" t="s">
        <v>21</v>
      </c>
      <c r="C10" s="1" t="s">
        <v>25</v>
      </c>
      <c r="D10" s="12">
        <v>30.25</v>
      </c>
      <c r="E10" s="16"/>
      <c r="F10" s="45" t="s">
        <v>736</v>
      </c>
      <c r="G10" s="11"/>
      <c r="H10" s="11"/>
      <c r="I10" s="11"/>
      <c r="J10" s="11"/>
      <c r="K10" s="11"/>
      <c r="L10" s="11"/>
      <c r="M10" s="11"/>
      <c r="N10" s="11"/>
    </row>
    <row r="11" spans="1:14">
      <c r="A11" s="51">
        <v>43319</v>
      </c>
      <c r="B11" s="7" t="s">
        <v>21</v>
      </c>
      <c r="C11" s="1" t="s">
        <v>209</v>
      </c>
      <c r="D11" s="12">
        <v>494.14</v>
      </c>
      <c r="E11" s="16"/>
      <c r="F11" s="19" t="s">
        <v>737</v>
      </c>
      <c r="G11" s="11"/>
      <c r="H11" s="11"/>
      <c r="I11" s="11"/>
      <c r="J11" s="11"/>
      <c r="K11" s="11"/>
      <c r="L11" s="11"/>
      <c r="M11" s="11"/>
      <c r="N11" s="11"/>
    </row>
    <row r="12" spans="1:14">
      <c r="A12" s="51">
        <v>43319</v>
      </c>
      <c r="B12" s="7" t="s">
        <v>21</v>
      </c>
      <c r="C12" s="1" t="s">
        <v>548</v>
      </c>
      <c r="D12" s="12">
        <v>297</v>
      </c>
      <c r="E12" s="16"/>
      <c r="F12" s="50">
        <v>36141733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51">
        <v>43319</v>
      </c>
      <c r="B13" s="7" t="s">
        <v>27</v>
      </c>
      <c r="C13" s="1" t="s">
        <v>28</v>
      </c>
      <c r="D13" s="12">
        <v>62.45</v>
      </c>
      <c r="E13" s="9"/>
      <c r="F13" s="44" t="s">
        <v>738</v>
      </c>
      <c r="G13" s="11"/>
      <c r="H13" s="11"/>
      <c r="I13" s="11"/>
      <c r="J13" s="11"/>
      <c r="K13" s="11"/>
      <c r="L13" s="11"/>
      <c r="M13" s="11"/>
      <c r="N13" s="11"/>
    </row>
    <row r="14" spans="1:14">
      <c r="A14" s="51" t="s">
        <v>9</v>
      </c>
      <c r="B14" s="7" t="s">
        <v>27</v>
      </c>
      <c r="C14" s="1" t="s">
        <v>333</v>
      </c>
      <c r="D14" s="12">
        <v>64</v>
      </c>
      <c r="E14" s="9"/>
      <c r="F14" s="10"/>
      <c r="G14" s="20"/>
      <c r="H14" s="11"/>
      <c r="I14" s="11"/>
      <c r="J14" s="11"/>
      <c r="K14" s="11"/>
      <c r="L14" s="11"/>
      <c r="M14" s="11"/>
      <c r="N14" s="11"/>
    </row>
    <row r="15" spans="1:14">
      <c r="A15" s="51">
        <v>43319</v>
      </c>
      <c r="B15" s="7" t="s">
        <v>105</v>
      </c>
      <c r="C15" s="1" t="s">
        <v>186</v>
      </c>
      <c r="D15" s="12">
        <v>53.1</v>
      </c>
      <c r="E15" s="12"/>
      <c r="F15" s="18" t="s">
        <v>739</v>
      </c>
      <c r="G15" s="35"/>
      <c r="H15" s="1"/>
      <c r="I15" s="1"/>
      <c r="J15" s="1"/>
      <c r="K15" s="1"/>
      <c r="L15" s="1"/>
      <c r="M15" s="1"/>
      <c r="N15" s="1"/>
    </row>
    <row r="16" spans="1:14">
      <c r="A16" s="51">
        <v>43319</v>
      </c>
      <c r="B16" s="7" t="s">
        <v>211</v>
      </c>
      <c r="C16" s="1" t="s">
        <v>212</v>
      </c>
      <c r="D16" s="12">
        <v>283.66000000000003</v>
      </c>
      <c r="E16" s="12"/>
      <c r="F16" s="21"/>
      <c r="G16" s="11"/>
      <c r="H16" s="11"/>
      <c r="I16" s="11"/>
      <c r="J16" s="11"/>
      <c r="K16" s="11"/>
      <c r="L16" s="11"/>
      <c r="M16" s="11"/>
      <c r="N16" s="11"/>
    </row>
    <row r="17" spans="1:14">
      <c r="A17" s="51">
        <v>43336</v>
      </c>
      <c r="B17" s="7" t="s">
        <v>367</v>
      </c>
      <c r="C17" s="1" t="s">
        <v>35</v>
      </c>
      <c r="D17" s="12">
        <v>161</v>
      </c>
      <c r="E17" s="9"/>
      <c r="F17" s="17" t="s">
        <v>740</v>
      </c>
      <c r="G17" s="7"/>
      <c r="H17" s="7"/>
      <c r="I17" s="7"/>
      <c r="J17" s="7"/>
      <c r="K17" s="7"/>
      <c r="L17" s="7"/>
      <c r="M17" s="7"/>
      <c r="N17" s="7"/>
    </row>
    <row r="18" spans="1:14">
      <c r="A18" s="52"/>
      <c r="B18" s="7"/>
      <c r="C18" s="1"/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52"/>
      <c r="B19" s="1"/>
      <c r="C19" s="1"/>
      <c r="D19" s="12">
        <v>0</v>
      </c>
      <c r="E19" s="1"/>
      <c r="F19" s="18"/>
      <c r="G19" s="1"/>
      <c r="H19" s="1"/>
      <c r="I19" s="1"/>
      <c r="J19" s="1"/>
      <c r="K19" s="1"/>
      <c r="L19" s="1"/>
      <c r="M19" s="1"/>
      <c r="N19" s="1"/>
    </row>
    <row r="20" spans="1:14">
      <c r="A20" s="52"/>
      <c r="B20" s="1"/>
      <c r="C20" s="22" t="s">
        <v>37</v>
      </c>
      <c r="D20" s="1"/>
      <c r="E20" s="1"/>
      <c r="F20" s="18"/>
      <c r="G20" s="1"/>
      <c r="H20" s="1"/>
      <c r="I20" s="1"/>
      <c r="J20" s="1"/>
      <c r="K20" s="1"/>
      <c r="L20" s="1"/>
      <c r="M20" s="1"/>
      <c r="N20" s="1"/>
    </row>
    <row r="21" spans="1:14">
      <c r="A21" s="51">
        <v>43319</v>
      </c>
      <c r="B21" s="1" t="s">
        <v>45</v>
      </c>
      <c r="C21" s="1" t="s">
        <v>258</v>
      </c>
      <c r="D21" s="12">
        <v>0</v>
      </c>
      <c r="E21" s="1"/>
      <c r="F21">
        <v>132718428495270</v>
      </c>
      <c r="G21" s="1"/>
      <c r="H21" s="1"/>
      <c r="I21" s="1"/>
      <c r="J21" s="1"/>
      <c r="K21" s="1"/>
      <c r="L21" s="1"/>
      <c r="M21" s="1"/>
      <c r="N21" s="1"/>
    </row>
    <row r="22" spans="1:14">
      <c r="A22" s="51">
        <v>43319</v>
      </c>
      <c r="B22" s="1" t="s">
        <v>45</v>
      </c>
      <c r="C22" s="1" t="s">
        <v>46</v>
      </c>
      <c r="D22" s="12">
        <v>25</v>
      </c>
      <c r="E22" s="1"/>
      <c r="F22" s="18" t="s">
        <v>741</v>
      </c>
      <c r="G22" s="1"/>
      <c r="H22" s="1"/>
      <c r="I22" s="1"/>
      <c r="J22" s="1"/>
      <c r="K22" s="1"/>
      <c r="L22" s="1"/>
      <c r="M22" s="1"/>
      <c r="N22" s="1"/>
    </row>
    <row r="23" spans="1:14">
      <c r="A23" s="51">
        <v>43319</v>
      </c>
      <c r="B23" s="1" t="s">
        <v>48</v>
      </c>
      <c r="C23" s="1" t="s">
        <v>49</v>
      </c>
      <c r="D23" s="12">
        <v>369</v>
      </c>
      <c r="E23" s="1"/>
      <c r="F23" s="45">
        <v>892824</v>
      </c>
      <c r="H23" s="1"/>
      <c r="I23" s="1"/>
      <c r="J23" s="1"/>
      <c r="K23" s="1"/>
      <c r="L23" s="1"/>
      <c r="M23" s="1"/>
      <c r="N23" s="1"/>
    </row>
    <row r="24" spans="1:14">
      <c r="A24" s="51">
        <v>43319</v>
      </c>
      <c r="B24" s="1" t="s">
        <v>27</v>
      </c>
      <c r="C24" s="1" t="s">
        <v>43</v>
      </c>
      <c r="D24" s="12">
        <v>232</v>
      </c>
      <c r="E24" s="1"/>
      <c r="F24" s="37">
        <v>336577585</v>
      </c>
      <c r="G24" s="1"/>
      <c r="H24" s="1"/>
      <c r="I24" s="1"/>
      <c r="J24" s="1"/>
      <c r="K24" s="1"/>
      <c r="L24" s="1"/>
      <c r="M24" s="1"/>
      <c r="N24" s="1"/>
    </row>
    <row r="25" spans="1:14">
      <c r="A25" s="51" t="s">
        <v>9</v>
      </c>
      <c r="B25" s="1" t="s">
        <v>51</v>
      </c>
      <c r="C25" s="1" t="s">
        <v>52</v>
      </c>
      <c r="E25" s="1"/>
      <c r="F25" s="18"/>
      <c r="G25" s="1"/>
      <c r="H25" s="1"/>
      <c r="I25" s="1"/>
      <c r="J25" s="1"/>
      <c r="K25" s="1"/>
      <c r="L25" s="48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24"/>
      <c r="G26" s="1"/>
      <c r="H26" s="1"/>
      <c r="I26" s="1"/>
      <c r="J26" s="1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2" t="s">
        <v>56</v>
      </c>
      <c r="D29" s="28">
        <f>SUM(D3:D27)</f>
        <v>4294.17</v>
      </c>
      <c r="E29" s="1"/>
      <c r="F29" s="18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18"/>
      <c r="G30" s="1"/>
      <c r="H30" s="1"/>
      <c r="I30" s="1"/>
      <c r="J30" s="12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300</v>
      </c>
      <c r="E31" s="30"/>
      <c r="F31" s="31"/>
      <c r="G31" s="29"/>
      <c r="H31" s="29"/>
      <c r="I31" s="29"/>
      <c r="J31" s="29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6493</v>
      </c>
      <c r="E32" s="30"/>
      <c r="F32" s="31"/>
      <c r="G32" s="29"/>
      <c r="H32" s="29"/>
      <c r="I32" s="29"/>
      <c r="J32" s="29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2498.83</v>
      </c>
      <c r="E33" s="32"/>
      <c r="F33" s="18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3"/>
      <c r="D35" s="12"/>
      <c r="E35" s="12"/>
      <c r="F35" s="1"/>
      <c r="G35" s="1"/>
      <c r="H35" s="1"/>
      <c r="I35" s="1"/>
      <c r="J35" s="12"/>
      <c r="K35" s="1"/>
      <c r="L35" s="1"/>
      <c r="M35" s="1"/>
      <c r="N35" s="1"/>
    </row>
    <row r="36" spans="1:14">
      <c r="B36" s="1"/>
      <c r="C36" s="32">
        <f>D33/4</f>
        <v>624.70749999999998</v>
      </c>
      <c r="D36" s="12"/>
      <c r="E36" s="12"/>
      <c r="F36" s="1"/>
      <c r="G36" s="12"/>
      <c r="H36" s="12"/>
      <c r="I36" s="12"/>
      <c r="J36" s="1"/>
      <c r="K36" s="1"/>
      <c r="L36" s="1"/>
      <c r="M36" s="1"/>
      <c r="N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1"/>
      <c r="C40" s="34">
        <v>200</v>
      </c>
      <c r="D40" s="12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2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2">
        <f>C36-C40-C41-C42</f>
        <v>384.70749999999998</v>
      </c>
      <c r="D43" s="12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18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46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9" width="8.7109375" customWidth="1"/>
    <col min="10" max="10" width="9.28515625" customWidth="1"/>
    <col min="11" max="1025" width="8.7109375" customWidth="1"/>
  </cols>
  <sheetData>
    <row r="1" spans="1:14" ht="20.25">
      <c r="A1" s="114" t="s">
        <v>742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1">
        <v>43344</v>
      </c>
      <c r="B3" s="7" t="s">
        <v>6</v>
      </c>
      <c r="C3" s="1" t="s">
        <v>359</v>
      </c>
      <c r="D3" s="8">
        <v>1183.5</v>
      </c>
      <c r="E3" s="9"/>
      <c r="F3" s="54" t="s">
        <v>743</v>
      </c>
      <c r="G3" s="11"/>
      <c r="H3" s="11"/>
      <c r="I3" s="11"/>
      <c r="J3" s="11"/>
      <c r="K3" s="11"/>
      <c r="L3" s="11"/>
      <c r="M3" s="11"/>
      <c r="N3" s="11"/>
    </row>
    <row r="4" spans="1:14">
      <c r="A4" s="51">
        <v>43344</v>
      </c>
      <c r="B4" s="7" t="s">
        <v>10</v>
      </c>
      <c r="C4" s="1" t="s">
        <v>13</v>
      </c>
      <c r="D4" s="12">
        <v>165</v>
      </c>
      <c r="E4" s="9"/>
      <c r="F4" s="42" t="s">
        <v>744</v>
      </c>
      <c r="G4" s="11"/>
      <c r="H4" s="11"/>
      <c r="I4" s="11"/>
      <c r="J4" s="11"/>
      <c r="K4" s="11"/>
      <c r="L4" s="11"/>
      <c r="M4" s="11"/>
      <c r="N4" s="11"/>
    </row>
    <row r="5" spans="1:14">
      <c r="A5" s="51">
        <v>43357</v>
      </c>
      <c r="B5" s="7" t="s">
        <v>155</v>
      </c>
      <c r="C5" s="1" t="s">
        <v>16</v>
      </c>
      <c r="D5" s="12">
        <v>64</v>
      </c>
      <c r="E5" s="12"/>
      <c r="F5" t="s">
        <v>745</v>
      </c>
      <c r="G5" s="11"/>
      <c r="H5" s="11"/>
      <c r="I5" s="11"/>
      <c r="J5" s="11"/>
      <c r="K5" s="11"/>
      <c r="L5" s="11"/>
      <c r="M5" s="11"/>
      <c r="N5" s="11"/>
    </row>
    <row r="6" spans="1:14">
      <c r="A6" s="51" t="s">
        <v>9</v>
      </c>
      <c r="B6" s="56" t="s">
        <v>746</v>
      </c>
      <c r="C6" s="1" t="s">
        <v>734</v>
      </c>
      <c r="D6" s="12">
        <v>0</v>
      </c>
      <c r="E6" s="9"/>
      <c r="F6" s="36"/>
      <c r="G6" s="16"/>
      <c r="H6" s="7"/>
      <c r="I6" s="7"/>
      <c r="J6" s="7"/>
      <c r="K6" s="7"/>
      <c r="L6" s="7"/>
      <c r="M6" s="7"/>
      <c r="N6" s="7"/>
    </row>
    <row r="7" spans="1:14">
      <c r="A7" s="51" t="s">
        <v>9</v>
      </c>
      <c r="B7" s="56" t="s">
        <v>581</v>
      </c>
      <c r="C7" s="1" t="s">
        <v>747</v>
      </c>
      <c r="D7" s="12">
        <v>11.73</v>
      </c>
      <c r="E7" s="9"/>
      <c r="F7" s="36"/>
      <c r="G7" s="16"/>
      <c r="H7" s="7"/>
      <c r="I7" s="7"/>
      <c r="J7" s="7"/>
      <c r="K7" s="7"/>
      <c r="L7" s="7"/>
      <c r="M7" s="7"/>
      <c r="N7" s="7"/>
    </row>
    <row r="8" spans="1:14">
      <c r="A8" s="51">
        <v>43357</v>
      </c>
      <c r="B8" s="7" t="s">
        <v>21</v>
      </c>
      <c r="C8" s="1" t="s">
        <v>23</v>
      </c>
      <c r="D8" s="12">
        <v>293.8</v>
      </c>
      <c r="E8" s="9"/>
      <c r="F8" s="18" t="s">
        <v>748</v>
      </c>
      <c r="G8" s="1"/>
      <c r="H8" s="1"/>
      <c r="I8" s="1"/>
      <c r="J8" s="1"/>
      <c r="K8" s="1"/>
      <c r="L8" s="1"/>
      <c r="M8" s="1"/>
      <c r="N8" s="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45"/>
      <c r="G9" s="11"/>
      <c r="H9" s="11"/>
      <c r="I9" s="11"/>
      <c r="J9" s="11"/>
      <c r="K9" s="11"/>
      <c r="L9" s="11"/>
      <c r="M9" s="11"/>
      <c r="N9" s="11"/>
    </row>
    <row r="10" spans="1:14">
      <c r="A10" s="51">
        <v>43358</v>
      </c>
      <c r="B10" s="7" t="s">
        <v>21</v>
      </c>
      <c r="C10" s="1" t="s">
        <v>548</v>
      </c>
      <c r="D10" s="12">
        <v>297</v>
      </c>
      <c r="E10" s="16"/>
      <c r="F10" s="50"/>
      <c r="G10" s="11"/>
      <c r="H10" s="11"/>
      <c r="I10" s="11"/>
      <c r="J10" s="11"/>
      <c r="K10" s="11"/>
      <c r="L10" s="11"/>
      <c r="M10" s="11"/>
      <c r="N10" s="11"/>
    </row>
    <row r="11" spans="1:14">
      <c r="A11" s="51">
        <v>43357</v>
      </c>
      <c r="B11" s="7" t="s">
        <v>27</v>
      </c>
      <c r="C11" s="1" t="s">
        <v>28</v>
      </c>
      <c r="D11" s="12">
        <v>62.45</v>
      </c>
      <c r="E11" s="9"/>
      <c r="F11" s="44" t="s">
        <v>749</v>
      </c>
      <c r="G11" s="11"/>
      <c r="H11" s="11"/>
      <c r="I11" s="11"/>
      <c r="J11" s="11"/>
      <c r="K11" s="11"/>
      <c r="L11" s="11"/>
      <c r="M11" s="11"/>
      <c r="N11" s="11"/>
    </row>
    <row r="12" spans="1:14">
      <c r="A12" s="51" t="s">
        <v>9</v>
      </c>
      <c r="B12" s="7" t="s">
        <v>27</v>
      </c>
      <c r="C12" s="1" t="s">
        <v>333</v>
      </c>
      <c r="D12" s="12">
        <v>64</v>
      </c>
      <c r="E12" s="9"/>
      <c r="F12" s="10"/>
      <c r="G12" s="20"/>
      <c r="H12" s="11"/>
      <c r="I12" s="11"/>
      <c r="J12" s="11"/>
      <c r="K12" s="11"/>
      <c r="L12" s="11"/>
      <c r="M12" s="11"/>
      <c r="N12" s="11"/>
    </row>
    <row r="13" spans="1:14">
      <c r="A13" s="51">
        <v>43357</v>
      </c>
      <c r="B13" s="7" t="s">
        <v>105</v>
      </c>
      <c r="C13" s="1" t="s">
        <v>186</v>
      </c>
      <c r="D13" s="12">
        <v>53.1</v>
      </c>
      <c r="E13" s="12"/>
      <c r="F13" s="18" t="s">
        <v>750</v>
      </c>
      <c r="G13" s="35"/>
      <c r="H13" s="1"/>
      <c r="I13" s="1"/>
      <c r="J13" s="1"/>
      <c r="K13" s="1"/>
      <c r="L13" s="1"/>
      <c r="M13" s="1"/>
      <c r="N13" s="1"/>
    </row>
    <row r="14" spans="1:14">
      <c r="A14" s="51">
        <v>43374</v>
      </c>
      <c r="B14" s="7" t="s">
        <v>367</v>
      </c>
      <c r="C14" s="1" t="s">
        <v>35</v>
      </c>
      <c r="D14" s="12">
        <v>161</v>
      </c>
      <c r="E14" s="9"/>
      <c r="F14" s="17" t="s">
        <v>751</v>
      </c>
      <c r="G14" s="7"/>
      <c r="H14" s="7"/>
      <c r="I14" s="7"/>
      <c r="J14" s="7"/>
      <c r="K14" s="7"/>
      <c r="L14" s="7"/>
      <c r="M14" s="7"/>
      <c r="N14" s="7"/>
    </row>
    <row r="15" spans="1:14">
      <c r="A15" s="52"/>
      <c r="B15" s="7"/>
      <c r="C15" s="1"/>
      <c r="D15" s="1"/>
      <c r="E15" s="1"/>
      <c r="F15" s="18"/>
      <c r="G15" s="1"/>
      <c r="H15" s="1"/>
      <c r="I15" s="1"/>
      <c r="J15" s="1"/>
      <c r="K15" s="1"/>
      <c r="L15" s="1"/>
      <c r="M15" s="1"/>
      <c r="N15" s="1"/>
    </row>
    <row r="16" spans="1:14">
      <c r="A16" s="52"/>
      <c r="B16" s="1"/>
      <c r="C16" s="1"/>
      <c r="D16" s="12">
        <v>0</v>
      </c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52"/>
      <c r="B17" s="1"/>
      <c r="C17" s="22" t="s">
        <v>37</v>
      </c>
      <c r="D17" s="1"/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51">
        <v>43344</v>
      </c>
      <c r="B18" s="1" t="s">
        <v>45</v>
      </c>
      <c r="C18" s="1" t="s">
        <v>258</v>
      </c>
      <c r="D18" s="12">
        <v>0</v>
      </c>
      <c r="E18" s="1"/>
      <c r="F18" s="18" t="s">
        <v>752</v>
      </c>
      <c r="G18" s="1"/>
      <c r="H18" s="1"/>
      <c r="I18" s="1"/>
      <c r="J18" s="1"/>
      <c r="K18" s="1"/>
      <c r="L18" s="1"/>
      <c r="M18" s="1"/>
      <c r="N18" s="1"/>
    </row>
    <row r="19" spans="1:14">
      <c r="A19" s="53">
        <v>43344</v>
      </c>
      <c r="B19" s="1" t="s">
        <v>45</v>
      </c>
      <c r="C19" s="1" t="s">
        <v>46</v>
      </c>
      <c r="D19" s="12"/>
      <c r="E19" s="1"/>
      <c r="F19" s="55">
        <v>356339</v>
      </c>
      <c r="G19" s="1"/>
      <c r="H19" s="1"/>
      <c r="I19" s="1"/>
      <c r="J19" s="1"/>
      <c r="K19" s="1"/>
      <c r="L19" s="1"/>
      <c r="M19" s="1"/>
      <c r="N19" s="1"/>
    </row>
    <row r="20" spans="1:14">
      <c r="A20" s="53">
        <v>43357</v>
      </c>
      <c r="B20" s="1" t="s">
        <v>48</v>
      </c>
      <c r="C20" s="1" t="s">
        <v>49</v>
      </c>
      <c r="D20" s="12">
        <f>D7+D12+14</f>
        <v>89.73</v>
      </c>
      <c r="E20" s="1"/>
      <c r="F20" s="45">
        <v>419439</v>
      </c>
      <c r="H20" s="1"/>
      <c r="I20" s="1"/>
      <c r="J20" s="1"/>
      <c r="K20" s="1"/>
      <c r="L20" s="1"/>
      <c r="M20" s="1"/>
      <c r="N20" s="1"/>
    </row>
    <row r="21" spans="1:14">
      <c r="A21" s="51" t="s">
        <v>9</v>
      </c>
      <c r="B21" s="1" t="s">
        <v>27</v>
      </c>
      <c r="C21" s="1" t="s">
        <v>43</v>
      </c>
      <c r="D21" s="12"/>
      <c r="E21" s="1"/>
      <c r="F21" s="37"/>
      <c r="G21" s="1"/>
      <c r="H21" s="1"/>
      <c r="I21" s="1"/>
      <c r="J21" s="1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52</v>
      </c>
      <c r="E22" s="1"/>
      <c r="F22" s="18"/>
      <c r="G22" s="1"/>
      <c r="H22" s="1"/>
      <c r="I22" s="1"/>
      <c r="J22" s="1"/>
      <c r="K22" s="1"/>
      <c r="L22" s="48"/>
      <c r="M22" s="1"/>
      <c r="N22" s="1"/>
    </row>
    <row r="23" spans="1:14">
      <c r="A23" s="53" t="s">
        <v>9</v>
      </c>
      <c r="B23" s="1" t="s">
        <v>38</v>
      </c>
      <c r="C23" s="1" t="s">
        <v>39</v>
      </c>
      <c r="D23" s="23">
        <v>0</v>
      </c>
      <c r="E23" s="1"/>
      <c r="F23" s="24"/>
      <c r="G23" s="1"/>
      <c r="H23" s="1"/>
      <c r="I23" s="1"/>
      <c r="J23" s="1"/>
      <c r="K23" s="1"/>
      <c r="L23" s="1"/>
      <c r="M23" s="1"/>
      <c r="N23" s="1"/>
    </row>
    <row r="24" spans="1:14">
      <c r="A24" s="53" t="s">
        <v>9</v>
      </c>
      <c r="B24" s="1" t="s">
        <v>34</v>
      </c>
      <c r="C24" s="1" t="s">
        <v>54</v>
      </c>
      <c r="D24" s="12">
        <v>0</v>
      </c>
      <c r="E24" s="1"/>
      <c r="F24" s="18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22" t="s">
        <v>56</v>
      </c>
      <c r="D26" s="28">
        <f>SUM(D3:D24)</f>
        <v>2475.56</v>
      </c>
      <c r="E26" s="1"/>
      <c r="F26" s="18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 t="s">
        <v>57</v>
      </c>
      <c r="D27" s="1"/>
      <c r="E27" s="1"/>
      <c r="F27" s="18"/>
      <c r="G27" s="1"/>
      <c r="H27" s="1"/>
      <c r="I27" s="1"/>
      <c r="J27" s="12"/>
      <c r="K27" s="1"/>
      <c r="L27" s="1"/>
      <c r="M27" s="1"/>
      <c r="N27" s="1"/>
    </row>
    <row r="28" spans="1:14">
      <c r="A28" s="6"/>
      <c r="B28" s="29"/>
      <c r="C28" s="29" t="s">
        <v>58</v>
      </c>
      <c r="D28" s="30">
        <v>300</v>
      </c>
      <c r="E28" s="30"/>
      <c r="F28" s="31"/>
      <c r="G28" s="29"/>
      <c r="H28" s="29"/>
      <c r="I28" s="29"/>
      <c r="J28" s="29"/>
      <c r="K28" s="29"/>
      <c r="L28" s="29"/>
      <c r="M28" s="29"/>
      <c r="N28" s="29"/>
    </row>
    <row r="29" spans="1:14">
      <c r="A29" s="6"/>
      <c r="B29" s="29"/>
      <c r="C29" s="29" t="s">
        <v>59</v>
      </c>
      <c r="D29" s="1">
        <v>5292.78</v>
      </c>
      <c r="E29" s="30"/>
      <c r="F29" s="31"/>
      <c r="G29" s="29"/>
      <c r="H29" s="29"/>
      <c r="I29" s="29"/>
      <c r="J29" s="29"/>
      <c r="K29" s="29"/>
      <c r="L29" s="29"/>
      <c r="M29" s="29"/>
      <c r="N29" s="29"/>
    </row>
    <row r="30" spans="1:14">
      <c r="A30" s="1"/>
      <c r="B30" s="1"/>
      <c r="C30" s="1" t="s">
        <v>60</v>
      </c>
      <c r="D30" s="32">
        <f>(D29+D28)-D26</f>
        <v>3117.22</v>
      </c>
      <c r="E30" s="32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B32" s="1"/>
      <c r="C32" s="33"/>
      <c r="D32" s="12"/>
      <c r="E32" s="12"/>
      <c r="F32" s="1"/>
      <c r="G32" s="1"/>
      <c r="H32" s="1"/>
      <c r="I32" s="1"/>
      <c r="J32" s="12"/>
      <c r="K32" s="1"/>
      <c r="L32" s="1"/>
      <c r="M32" s="1"/>
      <c r="N32" s="1"/>
    </row>
    <row r="33" spans="2:14">
      <c r="B33" s="1"/>
      <c r="C33" s="32">
        <f>D30/4</f>
        <v>779.30499999999995</v>
      </c>
      <c r="D33" s="12"/>
      <c r="E33" s="12"/>
      <c r="F33" s="1"/>
      <c r="G33" s="12"/>
      <c r="H33" s="12"/>
      <c r="I33" s="12"/>
      <c r="J33" s="1"/>
      <c r="K33" s="1"/>
      <c r="L33" s="1"/>
      <c r="M33" s="1"/>
      <c r="N33" s="1"/>
    </row>
    <row r="34" spans="2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7" spans="2:14">
      <c r="B37" s="1"/>
      <c r="C37" s="34">
        <v>200</v>
      </c>
      <c r="D37" s="12" t="s">
        <v>61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>
      <c r="B38" s="1"/>
      <c r="C38" s="1">
        <v>40</v>
      </c>
      <c r="D38" s="12" t="s">
        <v>62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>
      <c r="B39" s="1"/>
      <c r="C39" s="1"/>
      <c r="D39" s="12" t="s">
        <v>194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32">
        <f>C33-C37-C38-C39</f>
        <v>539.30499999999995</v>
      </c>
      <c r="D40" s="12" t="s">
        <v>63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2" spans="2:14">
      <c r="B42" s="1"/>
      <c r="C42" s="1"/>
      <c r="D42" s="1"/>
      <c r="E42" s="1"/>
      <c r="F42" s="18"/>
      <c r="G42" s="1"/>
      <c r="H42" s="1"/>
      <c r="I42" s="1"/>
      <c r="J42" s="1"/>
      <c r="K42" s="1"/>
      <c r="L42" s="1"/>
      <c r="M42" s="1"/>
      <c r="N42" s="1"/>
    </row>
    <row r="44" spans="2:14">
      <c r="G44" s="1"/>
      <c r="H44" s="1"/>
    </row>
    <row r="45" spans="2:14">
      <c r="G45" s="1"/>
      <c r="H45" s="1"/>
    </row>
    <row r="46" spans="2:14">
      <c r="G46" s="1"/>
      <c r="H46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46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9" width="8.7109375" customWidth="1"/>
    <col min="10" max="10" width="9.28515625" customWidth="1"/>
    <col min="11" max="1025" width="8.7109375" customWidth="1"/>
  </cols>
  <sheetData>
    <row r="1" spans="1:14" ht="20.25">
      <c r="A1" s="114" t="s">
        <v>753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1">
        <v>43374</v>
      </c>
      <c r="B3" s="7" t="s">
        <v>6</v>
      </c>
      <c r="C3" s="1" t="s">
        <v>359</v>
      </c>
      <c r="D3" s="8">
        <v>1183.5</v>
      </c>
      <c r="E3" s="9"/>
      <c r="F3" s="54" t="s">
        <v>754</v>
      </c>
      <c r="G3" s="11"/>
      <c r="H3" s="11"/>
      <c r="I3" s="11"/>
      <c r="J3" s="11"/>
      <c r="K3" s="11"/>
      <c r="L3" s="11"/>
      <c r="M3" s="11"/>
      <c r="N3" s="11"/>
    </row>
    <row r="4" spans="1:14">
      <c r="A4" s="51">
        <v>43374</v>
      </c>
      <c r="B4" s="7" t="s">
        <v>10</v>
      </c>
      <c r="C4" s="1" t="s">
        <v>13</v>
      </c>
      <c r="D4" s="12">
        <v>168.78</v>
      </c>
      <c r="E4" s="9"/>
      <c r="F4" s="42" t="s">
        <v>755</v>
      </c>
      <c r="G4" s="11"/>
      <c r="H4" s="11"/>
      <c r="I4" s="11"/>
      <c r="J4" s="11"/>
      <c r="K4" s="11"/>
      <c r="L4" s="11"/>
      <c r="M4" s="11"/>
      <c r="N4" s="11"/>
    </row>
    <row r="5" spans="1:14">
      <c r="A5" s="51">
        <v>43387</v>
      </c>
      <c r="B5" s="7" t="s">
        <v>155</v>
      </c>
      <c r="C5" s="1" t="s">
        <v>16</v>
      </c>
      <c r="D5" s="12">
        <v>64</v>
      </c>
      <c r="E5" s="12"/>
      <c r="F5" t="s">
        <v>756</v>
      </c>
      <c r="G5" s="11"/>
      <c r="H5" s="11"/>
      <c r="I5" s="11"/>
      <c r="J5" s="11"/>
      <c r="K5" s="11"/>
      <c r="L5" s="11"/>
      <c r="M5" s="11"/>
      <c r="N5" s="11"/>
    </row>
    <row r="6" spans="1:14">
      <c r="A6" s="51" t="s">
        <v>9</v>
      </c>
      <c r="B6" s="56" t="s">
        <v>746</v>
      </c>
      <c r="C6" s="1" t="s">
        <v>734</v>
      </c>
      <c r="D6" s="12">
        <v>0</v>
      </c>
      <c r="E6" s="9"/>
      <c r="F6" s="36"/>
      <c r="G6" s="16"/>
      <c r="H6" s="7"/>
      <c r="I6" s="7"/>
      <c r="J6" s="7"/>
      <c r="K6" s="7"/>
      <c r="L6" s="7"/>
      <c r="M6" s="7"/>
      <c r="N6" s="7"/>
    </row>
    <row r="7" spans="1:14">
      <c r="A7" s="51" t="s">
        <v>9</v>
      </c>
      <c r="B7" s="56" t="s">
        <v>581</v>
      </c>
      <c r="C7" s="1" t="s">
        <v>747</v>
      </c>
      <c r="D7" s="12">
        <v>11.73</v>
      </c>
      <c r="E7" s="9"/>
      <c r="F7" s="36"/>
      <c r="G7" s="16"/>
      <c r="H7" s="7"/>
      <c r="I7" s="7"/>
      <c r="J7" s="7"/>
      <c r="K7" s="7"/>
      <c r="L7" s="7"/>
      <c r="M7" s="7"/>
      <c r="N7" s="7"/>
    </row>
    <row r="8" spans="1:14">
      <c r="A8" s="51">
        <v>43387</v>
      </c>
      <c r="B8" s="7" t="s">
        <v>21</v>
      </c>
      <c r="C8" s="1" t="s">
        <v>23</v>
      </c>
      <c r="D8" s="12">
        <v>293.8</v>
      </c>
      <c r="E8" s="9"/>
      <c r="F8" s="18" t="s">
        <v>757</v>
      </c>
      <c r="G8" s="1"/>
      <c r="H8" s="1"/>
      <c r="I8" s="1"/>
      <c r="J8" s="1"/>
      <c r="K8" s="1"/>
      <c r="L8" s="1"/>
      <c r="M8" s="1"/>
      <c r="N8" s="1"/>
    </row>
    <row r="9" spans="1:14">
      <c r="A9" s="51">
        <v>43387</v>
      </c>
      <c r="B9" s="7" t="s">
        <v>21</v>
      </c>
      <c r="C9" s="1" t="s">
        <v>25</v>
      </c>
      <c r="D9" s="12">
        <v>30.25</v>
      </c>
      <c r="E9" s="16"/>
      <c r="F9" s="45">
        <v>67067704</v>
      </c>
      <c r="G9" s="11"/>
      <c r="H9" s="11"/>
      <c r="I9" s="11"/>
      <c r="J9" s="11"/>
      <c r="K9" s="11"/>
      <c r="L9" s="11"/>
      <c r="M9" s="11"/>
      <c r="N9" s="11"/>
    </row>
    <row r="10" spans="1:14">
      <c r="A10" s="51">
        <v>43388</v>
      </c>
      <c r="B10" s="7" t="s">
        <v>21</v>
      </c>
      <c r="C10" s="1" t="s">
        <v>548</v>
      </c>
      <c r="D10" s="12">
        <v>297</v>
      </c>
      <c r="E10" s="16"/>
      <c r="F10" s="50"/>
      <c r="G10" s="11"/>
      <c r="H10" s="11"/>
      <c r="I10" s="11"/>
      <c r="J10" s="11"/>
      <c r="K10" s="11"/>
      <c r="L10" s="11"/>
      <c r="M10" s="11"/>
      <c r="N10" s="11"/>
    </row>
    <row r="11" spans="1:14">
      <c r="A11" s="51">
        <v>43387</v>
      </c>
      <c r="B11" s="7" t="s">
        <v>27</v>
      </c>
      <c r="C11" s="1" t="s">
        <v>28</v>
      </c>
      <c r="D11" s="12">
        <v>62.45</v>
      </c>
      <c r="E11" s="9"/>
      <c r="F11" s="44" t="s">
        <v>758</v>
      </c>
      <c r="G11" s="11"/>
      <c r="H11" s="11"/>
      <c r="I11" s="11"/>
      <c r="J11" s="11"/>
      <c r="K11" s="11"/>
      <c r="L11" s="11"/>
      <c r="M11" s="11"/>
      <c r="N11" s="11"/>
    </row>
    <row r="12" spans="1:14">
      <c r="A12" s="51" t="s">
        <v>9</v>
      </c>
      <c r="B12" s="7" t="s">
        <v>27</v>
      </c>
      <c r="C12" s="1" t="s">
        <v>333</v>
      </c>
      <c r="D12" s="12">
        <v>64</v>
      </c>
      <c r="E12" s="9"/>
      <c r="F12" s="10"/>
      <c r="G12" s="20"/>
      <c r="H12" s="11"/>
      <c r="I12" s="11"/>
      <c r="J12" s="11"/>
      <c r="K12" s="11"/>
      <c r="L12" s="11"/>
      <c r="M12" s="11"/>
      <c r="N12" s="11"/>
    </row>
    <row r="13" spans="1:14">
      <c r="A13" s="51">
        <v>43387</v>
      </c>
      <c r="B13" s="7" t="s">
        <v>105</v>
      </c>
      <c r="C13" s="1" t="s">
        <v>186</v>
      </c>
      <c r="D13" s="12">
        <v>53.1</v>
      </c>
      <c r="E13" s="12"/>
      <c r="F13" s="18" t="s">
        <v>759</v>
      </c>
      <c r="G13" s="35"/>
      <c r="H13" s="1"/>
      <c r="I13" s="1"/>
      <c r="J13" s="1"/>
      <c r="K13" s="1"/>
      <c r="L13" s="1"/>
      <c r="M13" s="1"/>
      <c r="N13" s="1"/>
    </row>
    <row r="14" spans="1:14">
      <c r="A14" s="51">
        <v>43401</v>
      </c>
      <c r="B14" s="7" t="s">
        <v>367</v>
      </c>
      <c r="C14" s="1" t="s">
        <v>35</v>
      </c>
      <c r="D14" s="12">
        <v>161</v>
      </c>
      <c r="E14" s="9"/>
      <c r="F14" s="17" t="s">
        <v>760</v>
      </c>
      <c r="G14" s="7"/>
      <c r="H14" s="7"/>
      <c r="I14" s="7"/>
      <c r="J14" s="7"/>
      <c r="K14" s="7"/>
      <c r="L14" s="7"/>
      <c r="M14" s="7"/>
      <c r="N14" s="7"/>
    </row>
    <row r="15" spans="1:14">
      <c r="A15" s="52"/>
      <c r="B15" s="7"/>
      <c r="C15" s="1"/>
      <c r="D15" s="1"/>
      <c r="E15" s="1"/>
      <c r="F15" s="18"/>
      <c r="G15" s="1"/>
      <c r="H15" s="1"/>
      <c r="I15" s="1"/>
      <c r="J15" s="1"/>
      <c r="K15" s="1"/>
      <c r="L15" s="1"/>
      <c r="M15" s="1"/>
      <c r="N15" s="1"/>
    </row>
    <row r="16" spans="1:14">
      <c r="A16" s="52"/>
      <c r="B16" s="1"/>
      <c r="C16" s="1"/>
      <c r="D16" s="12">
        <v>0</v>
      </c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52"/>
      <c r="B17" s="1"/>
      <c r="C17" s="22" t="s">
        <v>37</v>
      </c>
      <c r="D17" s="1"/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51">
        <v>43380</v>
      </c>
      <c r="B18" s="1" t="s">
        <v>45</v>
      </c>
      <c r="C18" s="1" t="s">
        <v>258</v>
      </c>
      <c r="D18" s="12">
        <v>0</v>
      </c>
      <c r="E18" s="1"/>
      <c r="F18" s="18" t="s">
        <v>761</v>
      </c>
      <c r="G18" s="1"/>
      <c r="H18" s="1"/>
      <c r="I18" s="1"/>
      <c r="J18" s="1"/>
      <c r="K18" s="1"/>
      <c r="L18" s="1"/>
      <c r="M18" s="1"/>
      <c r="N18" s="1"/>
    </row>
    <row r="19" spans="1:14">
      <c r="A19" s="53">
        <v>43387</v>
      </c>
      <c r="B19" s="1" t="s">
        <v>45</v>
      </c>
      <c r="C19" s="1" t="s">
        <v>46</v>
      </c>
      <c r="D19" s="12"/>
      <c r="E19" s="1"/>
      <c r="F19" s="55">
        <v>642336</v>
      </c>
      <c r="G19" s="1"/>
      <c r="H19" s="1"/>
      <c r="I19" s="1"/>
      <c r="J19" s="1"/>
      <c r="K19" s="1"/>
      <c r="L19" s="1"/>
      <c r="M19" s="1"/>
      <c r="N19" s="1"/>
    </row>
    <row r="20" spans="1:14">
      <c r="A20" s="53">
        <v>43387</v>
      </c>
      <c r="B20" s="1" t="s">
        <v>48</v>
      </c>
      <c r="C20" s="1" t="s">
        <v>49</v>
      </c>
      <c r="D20" s="12">
        <f>D7+D12+14</f>
        <v>89.73</v>
      </c>
      <c r="E20" s="1"/>
      <c r="F20" s="45">
        <v>550969</v>
      </c>
      <c r="H20" s="1"/>
      <c r="I20" s="1"/>
      <c r="J20" s="1"/>
      <c r="K20" s="1"/>
      <c r="L20" s="1"/>
      <c r="M20" s="1"/>
      <c r="N20" s="1"/>
    </row>
    <row r="21" spans="1:14">
      <c r="A21" s="51">
        <v>43387</v>
      </c>
      <c r="B21" s="1" t="s">
        <v>27</v>
      </c>
      <c r="C21" s="1" t="s">
        <v>43</v>
      </c>
      <c r="D21" s="12"/>
      <c r="E21" s="1"/>
      <c r="F21" s="37" t="s">
        <v>762</v>
      </c>
      <c r="G21" s="1"/>
      <c r="H21" s="1"/>
      <c r="I21" s="1"/>
      <c r="J21" s="1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52</v>
      </c>
      <c r="E22" s="1"/>
      <c r="F22" s="18"/>
      <c r="G22" s="1"/>
      <c r="H22" s="1"/>
      <c r="I22" s="1"/>
      <c r="J22" s="1"/>
      <c r="K22" s="1"/>
      <c r="L22" s="48"/>
      <c r="M22" s="1"/>
      <c r="N22" s="1"/>
    </row>
    <row r="23" spans="1:14">
      <c r="A23" s="53" t="s">
        <v>9</v>
      </c>
      <c r="B23" s="1" t="s">
        <v>38</v>
      </c>
      <c r="C23" s="1" t="s">
        <v>39</v>
      </c>
      <c r="D23" s="23">
        <v>0</v>
      </c>
      <c r="E23" s="1"/>
      <c r="F23" s="24"/>
      <c r="G23" s="1"/>
      <c r="H23" s="1"/>
      <c r="I23" s="1"/>
      <c r="J23" s="1"/>
      <c r="K23" s="1"/>
      <c r="L23" s="1"/>
      <c r="M23" s="1"/>
      <c r="N23" s="1"/>
    </row>
    <row r="24" spans="1:14">
      <c r="A24" s="53" t="s">
        <v>9</v>
      </c>
      <c r="B24" s="1" t="s">
        <v>34</v>
      </c>
      <c r="C24" s="1" t="s">
        <v>54</v>
      </c>
      <c r="D24" s="12">
        <v>0</v>
      </c>
      <c r="E24" s="1"/>
      <c r="F24" s="18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22" t="s">
        <v>56</v>
      </c>
      <c r="D26" s="28">
        <f>SUM(D3:D24)</f>
        <v>2479.3399999999997</v>
      </c>
      <c r="E26" s="1"/>
      <c r="F26" s="18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 t="s">
        <v>57</v>
      </c>
      <c r="D27" s="1"/>
      <c r="E27" s="1"/>
      <c r="F27" s="18"/>
      <c r="G27" s="1"/>
      <c r="H27" s="1"/>
      <c r="I27" s="1"/>
      <c r="J27" s="12"/>
      <c r="K27" s="1"/>
      <c r="L27" s="1"/>
      <c r="M27" s="1"/>
      <c r="N27" s="1"/>
    </row>
    <row r="28" spans="1:14">
      <c r="A28" s="6"/>
      <c r="B28" s="29"/>
      <c r="C28" s="29" t="s">
        <v>58</v>
      </c>
      <c r="D28" s="30">
        <v>300</v>
      </c>
      <c r="E28" s="30"/>
      <c r="F28" s="31"/>
      <c r="G28" s="29"/>
      <c r="H28" s="29"/>
      <c r="I28" s="29"/>
      <c r="J28" s="29"/>
      <c r="K28" s="29"/>
      <c r="L28" s="29"/>
      <c r="M28" s="29"/>
      <c r="N28" s="29"/>
    </row>
    <row r="29" spans="1:14">
      <c r="A29" s="6"/>
      <c r="B29" s="29"/>
      <c r="C29" s="29" t="s">
        <v>59</v>
      </c>
      <c r="D29" s="1">
        <v>5292.78</v>
      </c>
      <c r="E29" s="30"/>
      <c r="F29" s="31"/>
      <c r="G29" s="29"/>
      <c r="H29" s="29"/>
      <c r="I29" s="29"/>
      <c r="J29" s="29"/>
      <c r="K29" s="29"/>
      <c r="L29" s="29"/>
      <c r="M29" s="29"/>
      <c r="N29" s="29"/>
    </row>
    <row r="30" spans="1:14">
      <c r="A30" s="1"/>
      <c r="B30" s="1"/>
      <c r="C30" s="1" t="s">
        <v>60</v>
      </c>
      <c r="D30" s="32">
        <f>(D29+D28)-D26</f>
        <v>3113.44</v>
      </c>
      <c r="E30" s="32"/>
      <c r="F30" s="18"/>
      <c r="G30" s="1"/>
      <c r="H30" s="1"/>
      <c r="I30" s="1"/>
      <c r="J30" s="1"/>
      <c r="K30" s="1"/>
      <c r="L30" s="1"/>
      <c r="M30" s="1"/>
      <c r="N30" s="1"/>
    </row>
    <row r="31" spans="1:1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B32" s="1"/>
      <c r="C32" s="33"/>
      <c r="D32" s="12"/>
      <c r="E32" s="12"/>
      <c r="F32" s="1"/>
      <c r="G32" s="1"/>
      <c r="H32" s="1"/>
      <c r="I32" s="1"/>
      <c r="J32" s="12"/>
      <c r="K32" s="1"/>
      <c r="L32" s="1"/>
      <c r="M32" s="1"/>
      <c r="N32" s="1"/>
    </row>
    <row r="33" spans="2:14">
      <c r="B33" s="1"/>
      <c r="C33" s="32">
        <f>D30/4</f>
        <v>778.36</v>
      </c>
      <c r="D33" s="12"/>
      <c r="E33" s="12"/>
      <c r="F33" s="1"/>
      <c r="G33" s="12"/>
      <c r="H33" s="12"/>
      <c r="I33" s="12"/>
      <c r="J33" s="1"/>
      <c r="K33" s="1"/>
      <c r="L33" s="1"/>
      <c r="M33" s="1"/>
      <c r="N33" s="1"/>
    </row>
    <row r="34" spans="2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7" spans="2:14">
      <c r="B37" s="1"/>
      <c r="C37" s="34">
        <v>200</v>
      </c>
      <c r="D37" s="12" t="s">
        <v>61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>
      <c r="B38" s="1"/>
      <c r="C38" s="1">
        <v>40</v>
      </c>
      <c r="D38" s="12" t="s">
        <v>62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>
      <c r="B39" s="1"/>
      <c r="C39" s="1"/>
      <c r="D39" s="12" t="s">
        <v>194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32">
        <f>C33-C37-C38-C39</f>
        <v>538.36</v>
      </c>
      <c r="D40" s="12" t="s">
        <v>63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2" spans="2:14">
      <c r="B42" s="1"/>
      <c r="C42" s="1"/>
      <c r="D42" s="1"/>
      <c r="E42" s="1"/>
      <c r="F42" s="18"/>
      <c r="G42" s="1"/>
      <c r="H42" s="1"/>
      <c r="I42" s="1"/>
      <c r="J42" s="1"/>
      <c r="K42" s="1"/>
      <c r="L42" s="1"/>
      <c r="M42" s="1"/>
      <c r="N42" s="1"/>
    </row>
    <row r="44" spans="2:14">
      <c r="G44" s="1"/>
      <c r="H44" s="1"/>
    </row>
    <row r="45" spans="2:14">
      <c r="G45" s="1"/>
      <c r="H45" s="1"/>
    </row>
    <row r="46" spans="2:14">
      <c r="G46" s="1"/>
      <c r="H46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N47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9" width="8.7109375" customWidth="1"/>
    <col min="10" max="10" width="9.28515625" customWidth="1"/>
    <col min="11" max="1025" width="8.7109375" customWidth="1"/>
  </cols>
  <sheetData>
    <row r="1" spans="1:14" ht="20.25">
      <c r="A1" s="114" t="s">
        <v>763</v>
      </c>
      <c r="B1" s="114"/>
      <c r="C1" s="114"/>
      <c r="D1" s="11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1">
        <v>43401</v>
      </c>
      <c r="B3" s="7" t="s">
        <v>6</v>
      </c>
      <c r="C3" s="1" t="s">
        <v>359</v>
      </c>
      <c r="D3" s="8">
        <v>1162.19</v>
      </c>
      <c r="E3" s="9"/>
      <c r="F3" s="54" t="s">
        <v>764</v>
      </c>
      <c r="G3" s="11"/>
      <c r="H3" s="11"/>
      <c r="I3" s="11"/>
      <c r="J3" s="11"/>
      <c r="K3" s="11"/>
      <c r="L3" s="11"/>
      <c r="M3" s="11"/>
      <c r="N3" s="11"/>
    </row>
    <row r="4" spans="1:14">
      <c r="A4" s="51">
        <v>43401</v>
      </c>
      <c r="B4" s="7" t="s">
        <v>10</v>
      </c>
      <c r="C4" s="1" t="s">
        <v>13</v>
      </c>
      <c r="D4" s="12">
        <v>168.78</v>
      </c>
      <c r="E4" s="9"/>
      <c r="F4" s="42" t="s">
        <v>765</v>
      </c>
      <c r="G4" s="11"/>
      <c r="H4" s="11"/>
      <c r="I4" s="11"/>
      <c r="J4" s="11"/>
      <c r="K4" s="11"/>
      <c r="L4" s="11"/>
      <c r="M4" s="11"/>
      <c r="N4" s="11"/>
    </row>
    <row r="5" spans="1:14">
      <c r="A5" s="51">
        <v>43413</v>
      </c>
      <c r="B5" s="7" t="s">
        <v>155</v>
      </c>
      <c r="C5" s="1" t="s">
        <v>16</v>
      </c>
      <c r="D5" s="12">
        <v>64</v>
      </c>
      <c r="E5" s="12"/>
      <c r="F5" t="s">
        <v>766</v>
      </c>
      <c r="G5" s="11"/>
      <c r="H5" s="11"/>
      <c r="I5" s="11"/>
      <c r="J5" s="11"/>
      <c r="K5" s="11"/>
      <c r="L5" s="11"/>
      <c r="M5" s="11"/>
      <c r="N5" s="11"/>
    </row>
    <row r="6" spans="1:14">
      <c r="A6" s="51" t="s">
        <v>9</v>
      </c>
      <c r="B6" s="56" t="s">
        <v>746</v>
      </c>
      <c r="C6" s="1" t="s">
        <v>734</v>
      </c>
      <c r="D6" s="12">
        <v>0</v>
      </c>
      <c r="E6" s="9"/>
      <c r="F6" s="36"/>
      <c r="G6" s="16"/>
      <c r="H6" s="7"/>
      <c r="I6" s="7"/>
      <c r="J6" s="7"/>
      <c r="K6" s="7"/>
      <c r="L6" s="7"/>
      <c r="M6" s="7"/>
      <c r="N6" s="7"/>
    </row>
    <row r="7" spans="1:14">
      <c r="A7" s="51" t="s">
        <v>9</v>
      </c>
      <c r="B7" s="56" t="s">
        <v>581</v>
      </c>
      <c r="C7" s="1" t="s">
        <v>747</v>
      </c>
      <c r="D7" s="12">
        <v>11.73</v>
      </c>
      <c r="E7" s="9"/>
      <c r="F7" s="36"/>
      <c r="G7" s="16"/>
      <c r="H7" s="7"/>
      <c r="I7" s="7"/>
      <c r="J7" s="7"/>
      <c r="K7" s="7"/>
      <c r="L7" s="7"/>
      <c r="M7" s="7"/>
      <c r="N7" s="7"/>
    </row>
    <row r="8" spans="1:14">
      <c r="A8" s="51">
        <v>43413</v>
      </c>
      <c r="B8" s="56" t="s">
        <v>303</v>
      </c>
      <c r="C8" s="1" t="s">
        <v>767</v>
      </c>
      <c r="D8" s="12">
        <v>119</v>
      </c>
      <c r="E8" s="9"/>
      <c r="F8" s="36">
        <v>411927340</v>
      </c>
      <c r="G8" s="16"/>
      <c r="H8" s="7"/>
      <c r="I8" s="7"/>
      <c r="J8" s="7"/>
      <c r="K8" s="7"/>
      <c r="L8" s="7"/>
      <c r="M8" s="7"/>
      <c r="N8" s="7"/>
    </row>
    <row r="9" spans="1:14">
      <c r="A9" s="51">
        <v>43413</v>
      </c>
      <c r="B9" s="7" t="s">
        <v>21</v>
      </c>
      <c r="C9" s="1" t="s">
        <v>23</v>
      </c>
      <c r="D9" s="12">
        <v>293.8</v>
      </c>
      <c r="E9" s="9"/>
      <c r="F9" s="18" t="s">
        <v>768</v>
      </c>
      <c r="G9" s="1"/>
      <c r="H9" s="1"/>
      <c r="I9" s="1"/>
      <c r="J9" s="1"/>
      <c r="K9" s="1"/>
      <c r="L9" s="1"/>
      <c r="M9" s="1"/>
      <c r="N9" s="1"/>
    </row>
    <row r="10" spans="1:14">
      <c r="A10" s="51" t="s">
        <v>9</v>
      </c>
      <c r="B10" s="7" t="s">
        <v>21</v>
      </c>
      <c r="C10" s="1" t="s">
        <v>25</v>
      </c>
      <c r="D10" s="12">
        <v>30.25</v>
      </c>
      <c r="E10" s="16"/>
      <c r="F10" s="45"/>
      <c r="G10" s="11"/>
      <c r="H10" s="11"/>
      <c r="I10" s="11"/>
      <c r="J10" s="11"/>
      <c r="K10" s="11"/>
      <c r="L10" s="11"/>
      <c r="M10" s="11"/>
      <c r="N10" s="11"/>
    </row>
    <row r="11" spans="1:14">
      <c r="A11" s="51">
        <v>43413</v>
      </c>
      <c r="B11" s="7" t="s">
        <v>21</v>
      </c>
      <c r="C11" s="1" t="s">
        <v>548</v>
      </c>
      <c r="D11" s="12">
        <v>297</v>
      </c>
      <c r="E11" s="16"/>
      <c r="F11" s="50"/>
      <c r="G11" s="11"/>
      <c r="H11" s="11"/>
      <c r="I11" s="11"/>
      <c r="J11" s="11"/>
      <c r="K11" s="11"/>
      <c r="L11" s="11"/>
      <c r="M11" s="11"/>
      <c r="N11" s="11"/>
    </row>
    <row r="12" spans="1:14">
      <c r="A12" s="51">
        <v>43413</v>
      </c>
      <c r="B12" s="7" t="s">
        <v>27</v>
      </c>
      <c r="C12" s="1" t="s">
        <v>28</v>
      </c>
      <c r="D12" s="12">
        <v>62.45</v>
      </c>
      <c r="E12" s="9"/>
      <c r="F12" s="44" t="s">
        <v>769</v>
      </c>
      <c r="G12" s="11"/>
      <c r="H12" s="11"/>
      <c r="I12" s="11"/>
      <c r="J12" s="11"/>
      <c r="K12" s="11"/>
      <c r="L12" s="11"/>
      <c r="M12" s="11"/>
      <c r="N12" s="11"/>
    </row>
    <row r="13" spans="1:14">
      <c r="A13" s="51" t="s">
        <v>9</v>
      </c>
      <c r="B13" s="7" t="s">
        <v>27</v>
      </c>
      <c r="C13" s="1" t="s">
        <v>333</v>
      </c>
      <c r="D13" s="12">
        <v>64</v>
      </c>
      <c r="E13" s="9"/>
      <c r="F13" s="10"/>
      <c r="G13" s="20"/>
      <c r="H13" s="11"/>
      <c r="I13" s="11"/>
      <c r="J13" s="11"/>
      <c r="K13" s="11"/>
      <c r="L13" s="11"/>
      <c r="M13" s="11"/>
      <c r="N13" s="11"/>
    </row>
    <row r="14" spans="1:14">
      <c r="A14" s="51">
        <v>43413</v>
      </c>
      <c r="B14" s="7" t="s">
        <v>105</v>
      </c>
      <c r="C14" s="1" t="s">
        <v>186</v>
      </c>
      <c r="D14" s="12">
        <v>53.1</v>
      </c>
      <c r="E14" s="12"/>
      <c r="F14" s="18" t="s">
        <v>770</v>
      </c>
      <c r="G14" s="35"/>
      <c r="H14" s="1"/>
      <c r="I14" s="1"/>
      <c r="J14" s="1"/>
      <c r="K14" s="1"/>
      <c r="L14" s="1"/>
      <c r="M14" s="1"/>
      <c r="N14" s="1"/>
    </row>
    <row r="15" spans="1:14">
      <c r="A15" s="51">
        <v>43431</v>
      </c>
      <c r="B15" s="7" t="s">
        <v>367</v>
      </c>
      <c r="C15" s="1" t="s">
        <v>35</v>
      </c>
      <c r="D15" s="12">
        <v>161</v>
      </c>
      <c r="E15" s="9"/>
      <c r="F15" s="17" t="s">
        <v>771</v>
      </c>
      <c r="G15" s="7"/>
      <c r="H15" s="7"/>
      <c r="I15" s="7"/>
      <c r="J15" s="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18"/>
      <c r="G16" s="1"/>
      <c r="H16" s="1"/>
      <c r="I16" s="1"/>
      <c r="J16" s="1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18"/>
      <c r="G17" s="1"/>
      <c r="H17" s="1"/>
      <c r="I17" s="1"/>
      <c r="J17" s="1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18"/>
      <c r="G18" s="1"/>
      <c r="H18" s="1"/>
      <c r="I18" s="1"/>
      <c r="J18" s="1"/>
      <c r="K18" s="1"/>
      <c r="L18" s="1"/>
      <c r="M18" s="1"/>
      <c r="N18" s="1"/>
    </row>
    <row r="19" spans="1:14">
      <c r="A19" s="51">
        <v>43413</v>
      </c>
      <c r="B19" s="1" t="s">
        <v>45</v>
      </c>
      <c r="C19" s="1" t="s">
        <v>258</v>
      </c>
      <c r="D19" s="12">
        <v>0</v>
      </c>
      <c r="E19" s="1"/>
      <c r="F19" s="18" t="s">
        <v>772</v>
      </c>
      <c r="G19" s="1"/>
      <c r="H19" s="1"/>
      <c r="I19" s="1"/>
      <c r="J19" s="1"/>
      <c r="K19" s="1"/>
      <c r="L19" s="1"/>
      <c r="M19" s="1"/>
      <c r="N19" s="1"/>
    </row>
    <row r="20" spans="1:14">
      <c r="A20" s="53">
        <v>43413</v>
      </c>
      <c r="B20" s="1" t="s">
        <v>45</v>
      </c>
      <c r="C20" s="1" t="s">
        <v>46</v>
      </c>
      <c r="D20" s="12"/>
      <c r="E20" s="1"/>
      <c r="F20" s="55">
        <v>430472</v>
      </c>
      <c r="G20" s="1"/>
      <c r="H20" s="1"/>
      <c r="I20" s="1"/>
      <c r="J20" s="1"/>
      <c r="K20" s="1"/>
      <c r="L20" s="1"/>
      <c r="M20" s="1"/>
      <c r="N20" s="1"/>
    </row>
    <row r="21" spans="1:14">
      <c r="A21" s="53">
        <v>43413</v>
      </c>
      <c r="B21" s="1" t="s">
        <v>48</v>
      </c>
      <c r="C21" s="1" t="s">
        <v>49</v>
      </c>
      <c r="D21" s="12">
        <f>D7+D13+14</f>
        <v>89.73</v>
      </c>
      <c r="E21" s="1"/>
      <c r="F21" s="45">
        <v>219054</v>
      </c>
      <c r="H21" s="1"/>
      <c r="I21" s="1"/>
      <c r="J21" s="1"/>
      <c r="K21" s="1"/>
      <c r="L21" s="1"/>
      <c r="M21" s="1"/>
      <c r="N21" s="1"/>
    </row>
    <row r="22" spans="1:14">
      <c r="A22" s="51">
        <v>43413</v>
      </c>
      <c r="B22" s="1" t="s">
        <v>27</v>
      </c>
      <c r="C22" s="1" t="s">
        <v>43</v>
      </c>
      <c r="D22" s="12"/>
      <c r="E22" s="1"/>
      <c r="F22" s="37" t="s">
        <v>773</v>
      </c>
      <c r="G22" s="1"/>
      <c r="H22" s="1"/>
      <c r="I22" s="1"/>
      <c r="J22" s="1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18"/>
      <c r="G23" s="1"/>
      <c r="H23" s="1"/>
      <c r="I23" s="1"/>
      <c r="J23" s="1"/>
      <c r="K23" s="1"/>
      <c r="L23" s="48"/>
      <c r="M23" s="1"/>
      <c r="N23" s="1"/>
    </row>
    <row r="24" spans="1:14">
      <c r="A24" s="53">
        <v>43413</v>
      </c>
      <c r="B24" s="1" t="s">
        <v>38</v>
      </c>
      <c r="C24" s="1" t="s">
        <v>39</v>
      </c>
      <c r="D24" s="23">
        <v>0</v>
      </c>
      <c r="E24" s="1"/>
      <c r="F24" s="24" t="s">
        <v>774</v>
      </c>
      <c r="G24" s="1"/>
      <c r="H24" s="1"/>
      <c r="I24" s="1"/>
      <c r="J24" s="1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54</v>
      </c>
      <c r="D25" s="12">
        <v>0</v>
      </c>
      <c r="E25" s="1"/>
      <c r="F25" s="18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8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22" t="s">
        <v>56</v>
      </c>
      <c r="D27" s="28">
        <f>SUM(D3:D25)</f>
        <v>2577.0299999999997</v>
      </c>
      <c r="E27" s="1"/>
      <c r="F27" s="18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8"/>
      <c r="G28" s="1"/>
      <c r="H28" s="1"/>
      <c r="I28" s="1"/>
      <c r="J28" s="12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100</v>
      </c>
      <c r="E29" s="30"/>
      <c r="F29" s="31"/>
      <c r="G29" s="29"/>
      <c r="H29" s="29"/>
      <c r="I29" s="29"/>
      <c r="J29" s="29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5292.78</v>
      </c>
      <c r="E30" s="30"/>
      <c r="F30" s="31"/>
      <c r="G30" s="29"/>
      <c r="H30" s="29"/>
      <c r="I30" s="29"/>
      <c r="J30" s="29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2815.75</v>
      </c>
      <c r="E31" s="32"/>
      <c r="F31" s="18"/>
      <c r="G31" s="1"/>
      <c r="H31" s="1"/>
      <c r="I31" s="1"/>
      <c r="J31" s="1"/>
      <c r="K31" s="1"/>
      <c r="L31" s="1"/>
      <c r="M31" s="1"/>
      <c r="N31" s="1"/>
    </row>
    <row r="32" spans="1:14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33"/>
      <c r="D33" s="12"/>
      <c r="E33" s="12"/>
      <c r="F33" s="1"/>
      <c r="G33" s="1"/>
      <c r="H33" s="1"/>
      <c r="I33" s="1"/>
      <c r="J33" s="12"/>
      <c r="K33" s="1"/>
      <c r="L33" s="1"/>
      <c r="M33" s="1"/>
      <c r="N33" s="1"/>
    </row>
    <row r="34" spans="2:14">
      <c r="B34" s="1"/>
      <c r="C34" s="32">
        <f>D31/4</f>
        <v>703.9375</v>
      </c>
      <c r="D34" s="12"/>
      <c r="E34" s="12"/>
      <c r="F34" s="1"/>
      <c r="G34" s="12"/>
      <c r="H34" s="12"/>
      <c r="I34" s="12"/>
      <c r="J34" s="1"/>
      <c r="K34" s="1"/>
      <c r="L34" s="1"/>
      <c r="M34" s="1"/>
      <c r="N34" s="1"/>
    </row>
    <row r="35" spans="2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8" spans="2:14">
      <c r="B38" s="1"/>
      <c r="C38" s="34">
        <v>200</v>
      </c>
      <c r="D38" s="12" t="s">
        <v>61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>
      <c r="B39" s="1"/>
      <c r="C39" s="1">
        <v>40</v>
      </c>
      <c r="D39" s="12" t="s">
        <v>62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/>
      <c r="D40" s="12" t="s">
        <v>194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2">
        <f>C34-C38-C39-C40</f>
        <v>463.9375</v>
      </c>
      <c r="D41" s="12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18"/>
      <c r="G43" s="1"/>
      <c r="H43" s="1"/>
      <c r="I43" s="1"/>
      <c r="J43" s="1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47"/>
  <sheetViews>
    <sheetView zoomScaleNormal="100" workbookViewId="0">
      <selection activeCell="I22" sqref="I2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775</v>
      </c>
      <c r="B1" s="114"/>
      <c r="C1" s="114"/>
      <c r="D1" s="114"/>
      <c r="E1" s="1"/>
      <c r="F1" s="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43435</v>
      </c>
      <c r="B3" s="7" t="s">
        <v>6</v>
      </c>
      <c r="C3" s="1" t="s">
        <v>359</v>
      </c>
      <c r="D3" s="8">
        <v>1162.19</v>
      </c>
      <c r="E3" s="9"/>
      <c r="F3" s="54" t="s">
        <v>776</v>
      </c>
      <c r="G3" s="11"/>
      <c r="H3" s="11"/>
      <c r="I3" s="11" t="s">
        <v>777</v>
      </c>
      <c r="J3" s="58">
        <v>112823827987624</v>
      </c>
      <c r="K3" s="11"/>
      <c r="L3" s="11"/>
      <c r="M3" s="11"/>
      <c r="N3" s="11"/>
    </row>
    <row r="4" spans="1:14" ht="15.75">
      <c r="A4" s="51">
        <v>43435</v>
      </c>
      <c r="B4" s="7" t="s">
        <v>10</v>
      </c>
      <c r="C4" s="1" t="s">
        <v>13</v>
      </c>
      <c r="D4" s="12">
        <v>168.78</v>
      </c>
      <c r="E4" s="9"/>
      <c r="F4" s="42" t="s">
        <v>778</v>
      </c>
      <c r="G4" s="11"/>
      <c r="H4" s="11"/>
      <c r="I4" s="59"/>
      <c r="J4" s="19"/>
      <c r="K4" s="11"/>
      <c r="L4" s="11"/>
      <c r="M4" s="11"/>
      <c r="N4" s="11"/>
    </row>
    <row r="5" spans="1:14">
      <c r="A5" s="51">
        <v>43441</v>
      </c>
      <c r="B5" s="7" t="s">
        <v>155</v>
      </c>
      <c r="C5" s="1" t="s">
        <v>16</v>
      </c>
      <c r="D5" s="12">
        <v>64</v>
      </c>
      <c r="E5" s="12"/>
      <c r="F5" t="s">
        <v>779</v>
      </c>
      <c r="G5" s="11"/>
      <c r="H5" s="11"/>
      <c r="I5" s="11"/>
      <c r="J5" s="19"/>
      <c r="K5" s="11"/>
      <c r="L5" s="11"/>
      <c r="M5" s="11"/>
      <c r="N5" s="11"/>
    </row>
    <row r="6" spans="1:14">
      <c r="A6" s="51" t="s">
        <v>9</v>
      </c>
      <c r="B6" s="56" t="s">
        <v>746</v>
      </c>
      <c r="C6" s="1" t="s">
        <v>734</v>
      </c>
      <c r="D6" s="12">
        <v>0</v>
      </c>
      <c r="E6" s="9"/>
      <c r="F6" s="36"/>
      <c r="G6" s="16"/>
      <c r="H6" s="7"/>
      <c r="I6" s="7"/>
      <c r="J6" s="17"/>
      <c r="K6" s="7"/>
      <c r="L6" s="7"/>
      <c r="M6" s="7"/>
      <c r="N6" s="7"/>
    </row>
    <row r="7" spans="1:14">
      <c r="A7" s="51" t="s">
        <v>9</v>
      </c>
      <c r="B7" s="56" t="s">
        <v>581</v>
      </c>
      <c r="C7" s="1" t="s">
        <v>747</v>
      </c>
      <c r="D7" s="12">
        <v>13.99</v>
      </c>
      <c r="E7" s="9"/>
      <c r="F7" s="36"/>
      <c r="G7" s="16"/>
      <c r="H7" s="7"/>
      <c r="I7" s="7"/>
      <c r="J7" s="17"/>
      <c r="K7" s="7"/>
      <c r="L7" s="7"/>
      <c r="M7" s="7"/>
      <c r="N7" s="7"/>
    </row>
    <row r="8" spans="1:14">
      <c r="A8" s="51">
        <v>43441</v>
      </c>
      <c r="B8" s="56" t="s">
        <v>303</v>
      </c>
      <c r="C8" s="1" t="s">
        <v>767</v>
      </c>
      <c r="D8" s="12">
        <v>119</v>
      </c>
      <c r="E8" s="9"/>
      <c r="F8" s="36">
        <v>4419352312</v>
      </c>
      <c r="G8" s="16"/>
      <c r="H8" s="7"/>
      <c r="I8" s="7"/>
      <c r="J8" s="17"/>
      <c r="K8" s="7"/>
      <c r="L8" s="7"/>
      <c r="M8" s="7"/>
      <c r="N8" s="7"/>
    </row>
    <row r="9" spans="1:14">
      <c r="A9" s="51">
        <v>43441</v>
      </c>
      <c r="B9" s="7" t="s">
        <v>21</v>
      </c>
      <c r="C9" s="1" t="s">
        <v>23</v>
      </c>
      <c r="D9" s="12">
        <v>293.8</v>
      </c>
      <c r="E9" s="9"/>
      <c r="F9" s="18" t="s">
        <v>780</v>
      </c>
      <c r="G9" s="1"/>
      <c r="H9" s="1"/>
      <c r="I9" s="1"/>
      <c r="J9" s="18"/>
      <c r="K9" s="1"/>
      <c r="L9" s="1"/>
      <c r="M9" s="1"/>
      <c r="N9" s="1"/>
    </row>
    <row r="10" spans="1:14">
      <c r="A10" s="51">
        <v>43441</v>
      </c>
      <c r="B10" s="7" t="s">
        <v>21</v>
      </c>
      <c r="C10" s="1" t="s">
        <v>25</v>
      </c>
      <c r="D10" s="12">
        <v>30.25</v>
      </c>
      <c r="E10" s="16"/>
      <c r="F10" s="45" t="s">
        <v>781</v>
      </c>
      <c r="G10" s="11"/>
      <c r="H10" s="11"/>
      <c r="I10" s="11"/>
      <c r="J10" s="19"/>
      <c r="K10" s="11"/>
      <c r="L10" s="11"/>
      <c r="M10" s="11"/>
      <c r="N10" s="11"/>
    </row>
    <row r="11" spans="1:14">
      <c r="A11" s="51">
        <v>43441</v>
      </c>
      <c r="B11" s="7" t="s">
        <v>21</v>
      </c>
      <c r="C11" s="1" t="s">
        <v>548</v>
      </c>
      <c r="D11" s="12">
        <v>297</v>
      </c>
      <c r="E11" s="16"/>
      <c r="F11" s="50"/>
      <c r="G11" s="11"/>
      <c r="H11" s="11"/>
      <c r="I11" s="11"/>
      <c r="J11" s="19"/>
      <c r="K11" s="11"/>
      <c r="L11" s="11"/>
      <c r="M11" s="11"/>
      <c r="N11" s="11"/>
    </row>
    <row r="12" spans="1:14">
      <c r="A12" s="51">
        <v>43441</v>
      </c>
      <c r="B12" s="7" t="s">
        <v>27</v>
      </c>
      <c r="C12" s="1" t="s">
        <v>28</v>
      </c>
      <c r="D12" s="12">
        <v>62.45</v>
      </c>
      <c r="E12" s="9"/>
      <c r="F12" s="44" t="s">
        <v>782</v>
      </c>
      <c r="G12" s="11"/>
      <c r="H12" s="11"/>
      <c r="I12" s="11"/>
      <c r="J12" s="19"/>
      <c r="K12" s="11"/>
      <c r="L12" s="11"/>
      <c r="M12" s="11"/>
      <c r="N12" s="11"/>
    </row>
    <row r="13" spans="1:14">
      <c r="A13" s="51" t="s">
        <v>9</v>
      </c>
      <c r="B13" s="7" t="s">
        <v>27</v>
      </c>
      <c r="C13" s="1" t="s">
        <v>333</v>
      </c>
      <c r="D13" s="12">
        <v>64</v>
      </c>
      <c r="E13" s="9"/>
      <c r="F13" s="10"/>
      <c r="G13" s="20"/>
      <c r="H13" s="11"/>
      <c r="I13" s="11"/>
      <c r="J13" s="19"/>
      <c r="K13" s="11"/>
      <c r="L13" s="11"/>
      <c r="M13" s="11"/>
      <c r="N13" s="11"/>
    </row>
    <row r="14" spans="1:14">
      <c r="A14" s="51">
        <v>43441</v>
      </c>
      <c r="B14" s="7" t="s">
        <v>105</v>
      </c>
      <c r="C14" s="1" t="s">
        <v>186</v>
      </c>
      <c r="D14" s="12">
        <v>53.1</v>
      </c>
      <c r="E14" s="12"/>
      <c r="F14" s="18" t="s">
        <v>783</v>
      </c>
      <c r="G14" s="35"/>
      <c r="H14" s="1"/>
      <c r="I14" s="1"/>
      <c r="J14" s="18"/>
      <c r="K14" s="1"/>
      <c r="L14" s="1"/>
      <c r="M14" s="1"/>
      <c r="N14" s="1"/>
    </row>
    <row r="15" spans="1:14">
      <c r="A15" s="51">
        <v>43460</v>
      </c>
      <c r="B15" s="7" t="s">
        <v>367</v>
      </c>
      <c r="C15" s="1" t="s">
        <v>35</v>
      </c>
      <c r="D15" s="12">
        <v>161</v>
      </c>
      <c r="E15" s="9"/>
      <c r="F15" s="17" t="s">
        <v>784</v>
      </c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18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18"/>
      <c r="G17" s="1"/>
      <c r="H17" s="1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18"/>
      <c r="G18" s="1"/>
      <c r="H18" s="1"/>
      <c r="I18" s="1"/>
      <c r="J18" s="18"/>
      <c r="K18" s="1"/>
      <c r="L18" s="1"/>
      <c r="M18" s="1"/>
      <c r="N18" s="1"/>
    </row>
    <row r="19" spans="1:14">
      <c r="A19" s="51">
        <v>43441</v>
      </c>
      <c r="B19" s="1" t="s">
        <v>45</v>
      </c>
      <c r="C19" s="1" t="s">
        <v>258</v>
      </c>
      <c r="D19" s="12">
        <v>0</v>
      </c>
      <c r="E19" s="1"/>
      <c r="F19" s="18" t="s">
        <v>785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43441</v>
      </c>
      <c r="B20" s="1" t="s">
        <v>45</v>
      </c>
      <c r="C20" s="1" t="s">
        <v>46</v>
      </c>
      <c r="D20" s="12"/>
      <c r="E20" s="1"/>
      <c r="F20" s="55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43441</v>
      </c>
      <c r="B21" s="1" t="s">
        <v>48</v>
      </c>
      <c r="C21" s="1" t="s">
        <v>49</v>
      </c>
      <c r="D21" s="12">
        <f>D7+D13+14</f>
        <v>91.99</v>
      </c>
      <c r="E21" s="1"/>
      <c r="F21" s="45"/>
      <c r="H21" s="1"/>
      <c r="I21" s="1"/>
      <c r="J21" s="18"/>
      <c r="K21" s="1"/>
      <c r="L21" s="1"/>
      <c r="M21" s="1"/>
      <c r="N21" s="1"/>
    </row>
    <row r="22" spans="1:14">
      <c r="A22" s="51">
        <v>43441</v>
      </c>
      <c r="B22" s="1" t="s">
        <v>27</v>
      </c>
      <c r="C22" s="1" t="s">
        <v>43</v>
      </c>
      <c r="D22" s="12"/>
      <c r="E22" s="1"/>
      <c r="F22" s="37" t="s">
        <v>786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18"/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43441</v>
      </c>
      <c r="B24" s="1" t="s">
        <v>38</v>
      </c>
      <c r="C24" s="1" t="s">
        <v>39</v>
      </c>
      <c r="D24" s="23">
        <v>0</v>
      </c>
      <c r="E24" s="1"/>
      <c r="F24" s="24" t="s">
        <v>787</v>
      </c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54</v>
      </c>
      <c r="D25" s="12">
        <v>0</v>
      </c>
      <c r="E25" s="1"/>
      <c r="F25" s="18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8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22" t="s">
        <v>56</v>
      </c>
      <c r="D27" s="28">
        <f>SUM(D3:D25)</f>
        <v>2581.5499999999997</v>
      </c>
      <c r="E27" s="1"/>
      <c r="F27" s="18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8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100</v>
      </c>
      <c r="E29" s="30"/>
      <c r="F29" s="31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5292.78</v>
      </c>
      <c r="E30" s="30"/>
      <c r="F30" s="31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2811.23</v>
      </c>
      <c r="E31" s="32"/>
      <c r="F31" s="18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702.8075</v>
      </c>
      <c r="D34" s="12"/>
      <c r="E34" s="12"/>
      <c r="F34" s="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1"/>
      <c r="G35" s="1"/>
      <c r="H35" s="1"/>
      <c r="I35" s="1"/>
      <c r="J35" s="18"/>
      <c r="K35" s="1"/>
      <c r="L35" s="1"/>
      <c r="M35" s="1"/>
      <c r="N35" s="1"/>
    </row>
    <row r="38" spans="2:14">
      <c r="B38" s="1"/>
      <c r="C38" s="34">
        <v>200</v>
      </c>
      <c r="D38" s="12" t="s">
        <v>61</v>
      </c>
      <c r="E38" s="1"/>
      <c r="F38" s="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>
        <v>40</v>
      </c>
      <c r="D39" s="12" t="s">
        <v>62</v>
      </c>
      <c r="E39" s="1"/>
      <c r="F39" s="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 t="s">
        <v>194</v>
      </c>
      <c r="E40" s="1"/>
      <c r="F40" s="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>
        <f>C34-C38-C39-C40</f>
        <v>462.8075</v>
      </c>
      <c r="D41" s="12" t="s">
        <v>63</v>
      </c>
      <c r="E41" s="1"/>
      <c r="F41" s="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18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47"/>
  <sheetViews>
    <sheetView zoomScaleNormal="100" workbookViewId="0">
      <selection activeCell="I22" sqref="I2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788</v>
      </c>
      <c r="B1" s="114"/>
      <c r="C1" s="114"/>
      <c r="D1" s="114"/>
      <c r="E1" s="1"/>
      <c r="F1" s="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43466</v>
      </c>
      <c r="B3" s="7" t="s">
        <v>6</v>
      </c>
      <c r="C3" s="1" t="s">
        <v>359</v>
      </c>
      <c r="D3" s="8">
        <v>1162.19</v>
      </c>
      <c r="E3" s="9"/>
      <c r="F3" s="54" t="s">
        <v>789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43466</v>
      </c>
      <c r="B4" s="7" t="s">
        <v>10</v>
      </c>
      <c r="C4" s="1" t="s">
        <v>13</v>
      </c>
      <c r="D4" s="12">
        <v>168.78</v>
      </c>
      <c r="E4" s="9"/>
      <c r="F4" s="42" t="s">
        <v>790</v>
      </c>
      <c r="G4" s="11"/>
      <c r="H4" s="11"/>
      <c r="I4" s="59"/>
      <c r="J4" s="19"/>
      <c r="K4" s="11"/>
      <c r="L4" s="11"/>
      <c r="M4" s="11"/>
      <c r="N4" s="11"/>
    </row>
    <row r="5" spans="1:14">
      <c r="A5" s="51">
        <v>43475</v>
      </c>
      <c r="B5" s="7" t="s">
        <v>155</v>
      </c>
      <c r="C5" s="1" t="s">
        <v>16</v>
      </c>
      <c r="D5" s="12">
        <v>64</v>
      </c>
      <c r="E5" s="12"/>
      <c r="F5" t="s">
        <v>791</v>
      </c>
      <c r="G5" s="11"/>
      <c r="H5" s="11"/>
      <c r="I5" s="11"/>
      <c r="J5" s="19"/>
      <c r="K5" s="11"/>
      <c r="L5" s="11"/>
      <c r="M5" s="11"/>
      <c r="N5" s="11"/>
    </row>
    <row r="6" spans="1:14">
      <c r="A6" s="51" t="s">
        <v>9</v>
      </c>
      <c r="B6" s="56" t="s">
        <v>746</v>
      </c>
      <c r="C6" s="1" t="s">
        <v>734</v>
      </c>
      <c r="D6" s="12">
        <v>0</v>
      </c>
      <c r="E6" s="9"/>
      <c r="F6" s="36"/>
      <c r="G6" s="16"/>
      <c r="H6" s="7"/>
      <c r="I6" s="7"/>
      <c r="J6" s="17"/>
      <c r="K6" s="7"/>
      <c r="L6" s="7"/>
      <c r="M6" s="7"/>
      <c r="N6" s="7"/>
    </row>
    <row r="7" spans="1:14">
      <c r="A7" s="51" t="s">
        <v>9</v>
      </c>
      <c r="B7" s="56" t="s">
        <v>581</v>
      </c>
      <c r="C7" s="1" t="s">
        <v>747</v>
      </c>
      <c r="D7" s="12">
        <v>13.99</v>
      </c>
      <c r="E7" s="9"/>
      <c r="F7" s="36"/>
      <c r="G7" s="16"/>
      <c r="H7" s="7"/>
      <c r="I7" s="7"/>
      <c r="J7" s="17"/>
      <c r="K7" s="7"/>
      <c r="L7" s="7"/>
      <c r="M7" s="7"/>
      <c r="N7" s="7"/>
    </row>
    <row r="8" spans="1:14">
      <c r="A8" s="51">
        <v>43475</v>
      </c>
      <c r="B8" s="56" t="s">
        <v>303</v>
      </c>
      <c r="C8" s="1" t="s">
        <v>767</v>
      </c>
      <c r="D8" s="12">
        <v>119</v>
      </c>
      <c r="E8" s="9"/>
      <c r="F8" s="36">
        <v>3528416428</v>
      </c>
      <c r="G8" s="16"/>
      <c r="H8" s="7"/>
      <c r="I8" s="7"/>
      <c r="J8" s="17"/>
      <c r="K8" s="7"/>
      <c r="L8" s="7"/>
      <c r="M8" s="7">
        <v>4368.33</v>
      </c>
      <c r="N8" s="7" t="s">
        <v>792</v>
      </c>
    </row>
    <row r="9" spans="1:14">
      <c r="A9" s="51">
        <v>43475</v>
      </c>
      <c r="B9" s="7" t="s">
        <v>21</v>
      </c>
      <c r="C9" s="1" t="s">
        <v>23</v>
      </c>
      <c r="D9" s="12">
        <v>293.8</v>
      </c>
      <c r="E9" s="9"/>
      <c r="F9" s="18" t="s">
        <v>793</v>
      </c>
      <c r="G9" s="1"/>
      <c r="H9" s="1"/>
      <c r="I9" s="1"/>
      <c r="J9" s="18"/>
      <c r="K9" s="1"/>
      <c r="L9" s="1"/>
      <c r="M9" s="1">
        <v>2406.36</v>
      </c>
      <c r="N9" s="1" t="s">
        <v>794</v>
      </c>
    </row>
    <row r="10" spans="1:14">
      <c r="A10" s="51" t="s">
        <v>9</v>
      </c>
      <c r="B10" s="7" t="s">
        <v>21</v>
      </c>
      <c r="C10" s="1" t="s">
        <v>25</v>
      </c>
      <c r="D10" s="12">
        <v>30.25</v>
      </c>
      <c r="E10" s="16"/>
      <c r="F10" s="45"/>
      <c r="G10" s="11"/>
      <c r="H10" s="11"/>
      <c r="I10" s="11"/>
      <c r="J10" s="19"/>
      <c r="K10" s="11"/>
      <c r="L10" s="11"/>
      <c r="M10" s="11"/>
      <c r="N10" s="11"/>
    </row>
    <row r="11" spans="1:14">
      <c r="A11" s="51">
        <v>43475</v>
      </c>
      <c r="B11" s="7" t="s">
        <v>21</v>
      </c>
      <c r="C11" s="1" t="s">
        <v>548</v>
      </c>
      <c r="D11" s="12">
        <v>297</v>
      </c>
      <c r="E11" s="16"/>
      <c r="F11" s="50"/>
      <c r="G11" s="11"/>
      <c r="H11" s="11"/>
      <c r="I11" s="11"/>
      <c r="J11" s="19"/>
      <c r="K11" s="11"/>
      <c r="L11" s="11"/>
      <c r="M11" s="11"/>
      <c r="N11" s="11"/>
    </row>
    <row r="12" spans="1:14">
      <c r="A12" s="51">
        <v>43475</v>
      </c>
      <c r="B12" s="7" t="s">
        <v>27</v>
      </c>
      <c r="C12" s="1" t="s">
        <v>28</v>
      </c>
      <c r="D12" s="12">
        <v>62.45</v>
      </c>
      <c r="E12" s="9"/>
      <c r="F12" s="44" t="s">
        <v>795</v>
      </c>
      <c r="G12" s="11"/>
      <c r="H12" s="11"/>
      <c r="I12" s="11"/>
      <c r="J12" s="19"/>
      <c r="K12" s="11"/>
      <c r="L12" s="11"/>
      <c r="M12" s="11">
        <f>M8-M9</f>
        <v>1961.9699999999998</v>
      </c>
      <c r="N12" s="11" t="s">
        <v>796</v>
      </c>
    </row>
    <row r="13" spans="1:14">
      <c r="A13" s="51" t="s">
        <v>9</v>
      </c>
      <c r="B13" s="7" t="s">
        <v>27</v>
      </c>
      <c r="C13" s="1" t="s">
        <v>333</v>
      </c>
      <c r="D13" s="12">
        <v>64</v>
      </c>
      <c r="E13" s="9"/>
      <c r="F13" s="10"/>
      <c r="G13" s="20"/>
      <c r="H13" s="11"/>
      <c r="I13" s="11"/>
      <c r="J13" s="19"/>
      <c r="K13" s="11"/>
      <c r="L13" s="11"/>
      <c r="M13" s="11"/>
      <c r="N13" s="11"/>
    </row>
    <row r="14" spans="1:14">
      <c r="A14" s="51">
        <v>43483</v>
      </c>
      <c r="B14" s="7" t="s">
        <v>105</v>
      </c>
      <c r="C14" s="1" t="s">
        <v>186</v>
      </c>
      <c r="D14" s="12">
        <v>53.1</v>
      </c>
      <c r="E14" s="12"/>
      <c r="F14" s="18" t="s">
        <v>797</v>
      </c>
      <c r="G14" s="35"/>
      <c r="H14" s="1"/>
      <c r="I14" s="1"/>
      <c r="J14" s="18"/>
      <c r="K14" s="1"/>
      <c r="L14" s="1"/>
      <c r="M14" s="1"/>
      <c r="N14" s="1"/>
    </row>
    <row r="15" spans="1:14">
      <c r="A15" s="51">
        <v>43483</v>
      </c>
      <c r="B15" s="7" t="s">
        <v>367</v>
      </c>
      <c r="C15" s="1" t="s">
        <v>35</v>
      </c>
      <c r="D15" s="12">
        <v>161</v>
      </c>
      <c r="E15" s="9"/>
      <c r="F15" s="17" t="s">
        <v>798</v>
      </c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18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18"/>
      <c r="G17" s="1"/>
      <c r="H17" s="1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18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18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43466</v>
      </c>
      <c r="B20" s="1" t="s">
        <v>45</v>
      </c>
      <c r="C20" s="1" t="s">
        <v>46</v>
      </c>
      <c r="D20" s="12"/>
      <c r="E20" s="1"/>
      <c r="F20" s="55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43475</v>
      </c>
      <c r="B21" s="1" t="s">
        <v>48</v>
      </c>
      <c r="C21" s="1" t="s">
        <v>49</v>
      </c>
      <c r="D21" s="12">
        <f>D7+D13+14</f>
        <v>91.99</v>
      </c>
      <c r="E21" s="1"/>
      <c r="F21" s="45"/>
      <c r="H21" s="1"/>
      <c r="I21" s="1"/>
      <c r="J21" s="18"/>
      <c r="K21" s="1"/>
      <c r="L21" s="1"/>
      <c r="M21" s="1"/>
      <c r="N21" s="1"/>
    </row>
    <row r="22" spans="1:14">
      <c r="A22" s="51">
        <v>43475</v>
      </c>
      <c r="B22" s="1" t="s">
        <v>27</v>
      </c>
      <c r="C22" s="1" t="s">
        <v>43</v>
      </c>
      <c r="D22" s="12"/>
      <c r="E22" s="1"/>
      <c r="F22" s="37" t="s">
        <v>799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18"/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43466</v>
      </c>
      <c r="B24" s="1" t="s">
        <v>38</v>
      </c>
      <c r="C24" s="1" t="s">
        <v>39</v>
      </c>
      <c r="D24" s="23">
        <v>0</v>
      </c>
      <c r="E24" s="1"/>
      <c r="F24" s="24" t="s">
        <v>800</v>
      </c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54</v>
      </c>
      <c r="D25" s="12">
        <v>0</v>
      </c>
      <c r="E25" s="1"/>
      <c r="F25" s="18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8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22" t="s">
        <v>56</v>
      </c>
      <c r="D27" s="28">
        <f>SUM(D3:D25)</f>
        <v>2581.5499999999997</v>
      </c>
      <c r="E27" s="1"/>
      <c r="F27" s="18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8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100</v>
      </c>
      <c r="E29" s="30"/>
      <c r="F29" s="31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5292.78</v>
      </c>
      <c r="E30" s="30"/>
      <c r="F30" s="31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2811.23</v>
      </c>
      <c r="E31" s="32"/>
      <c r="F31" s="18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702.8075</v>
      </c>
      <c r="D34" s="12"/>
      <c r="E34" s="12"/>
      <c r="F34" s="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1"/>
      <c r="G35" s="1"/>
      <c r="H35" s="1"/>
      <c r="I35" s="1"/>
      <c r="J35" s="18"/>
      <c r="K35" s="1"/>
      <c r="L35" s="1"/>
      <c r="M35" s="1"/>
      <c r="N35" s="1"/>
    </row>
    <row r="38" spans="2:14">
      <c r="B38" s="1"/>
      <c r="C38" s="34">
        <v>200</v>
      </c>
      <c r="D38" s="12" t="s">
        <v>61</v>
      </c>
      <c r="E38" s="1"/>
      <c r="F38" s="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>
        <v>40</v>
      </c>
      <c r="D39" s="12" t="s">
        <v>62</v>
      </c>
      <c r="E39" s="1"/>
      <c r="F39" s="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 t="s">
        <v>194</v>
      </c>
      <c r="E40" s="1"/>
      <c r="F40" s="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>
        <f>C34-C38-C39-C40</f>
        <v>462.8075</v>
      </c>
      <c r="D41" s="12" t="s">
        <v>63</v>
      </c>
      <c r="E41" s="1"/>
      <c r="F41" s="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18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47"/>
  <sheetViews>
    <sheetView zoomScaleNormal="100" workbookViewId="0">
      <selection activeCell="I22" sqref="I2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801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43497</v>
      </c>
      <c r="B3" s="7" t="s">
        <v>6</v>
      </c>
      <c r="C3" s="1" t="s">
        <v>359</v>
      </c>
      <c r="D3" s="8">
        <v>1162.19</v>
      </c>
      <c r="E3" s="9"/>
      <c r="F3" s="63" t="s">
        <v>802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43497</v>
      </c>
      <c r="B4" s="7" t="s">
        <v>10</v>
      </c>
      <c r="C4" s="1" t="s">
        <v>13</v>
      </c>
      <c r="D4" s="12">
        <v>168.78</v>
      </c>
      <c r="E4" s="9"/>
      <c r="F4" s="64" t="s">
        <v>803</v>
      </c>
      <c r="G4" s="11"/>
      <c r="H4" s="11"/>
      <c r="I4" s="59"/>
      <c r="J4" s="19"/>
      <c r="K4" s="11"/>
      <c r="L4" s="11"/>
      <c r="M4" s="11"/>
      <c r="N4" s="11"/>
    </row>
    <row r="5" spans="1:14">
      <c r="A5" s="51">
        <v>43510</v>
      </c>
      <c r="B5" s="7" t="s">
        <v>155</v>
      </c>
      <c r="C5" s="1" t="s">
        <v>16</v>
      </c>
      <c r="D5" s="12">
        <v>64</v>
      </c>
      <c r="E5" s="12"/>
      <c r="F5" s="63" t="s">
        <v>804</v>
      </c>
      <c r="G5" s="11"/>
      <c r="H5" s="11"/>
      <c r="I5" s="11"/>
      <c r="J5" s="19"/>
      <c r="K5" s="11"/>
      <c r="L5" s="11"/>
      <c r="M5" s="11"/>
      <c r="N5" s="11"/>
    </row>
    <row r="6" spans="1:14">
      <c r="A6" s="51">
        <v>43511</v>
      </c>
      <c r="B6" s="56" t="s">
        <v>746</v>
      </c>
      <c r="C6" s="1" t="s">
        <v>805</v>
      </c>
      <c r="D6" s="12">
        <v>0</v>
      </c>
      <c r="E6" s="9"/>
      <c r="F6" s="63">
        <v>6019723</v>
      </c>
      <c r="G6" s="16"/>
      <c r="H6" s="7"/>
      <c r="I6" s="7"/>
      <c r="J6" s="17"/>
      <c r="K6" s="7"/>
      <c r="L6" s="7"/>
      <c r="M6" s="7"/>
      <c r="N6" s="7"/>
    </row>
    <row r="7" spans="1:14">
      <c r="A7" s="51" t="s">
        <v>9</v>
      </c>
      <c r="B7" s="56" t="s">
        <v>581</v>
      </c>
      <c r="C7" s="1" t="s">
        <v>747</v>
      </c>
      <c r="D7" s="12">
        <v>13.99</v>
      </c>
      <c r="E7" s="9"/>
      <c r="F7" s="63"/>
      <c r="G7" s="16"/>
      <c r="H7" s="7"/>
      <c r="I7" s="7"/>
      <c r="J7" s="17"/>
      <c r="K7" s="7"/>
      <c r="L7" s="7"/>
      <c r="M7" s="7"/>
      <c r="N7" s="7"/>
    </row>
    <row r="8" spans="1:14">
      <c r="A8" s="51">
        <v>43510</v>
      </c>
      <c r="B8" s="56" t="s">
        <v>303</v>
      </c>
      <c r="C8" s="1" t="s">
        <v>767</v>
      </c>
      <c r="D8" s="12">
        <v>119</v>
      </c>
      <c r="E8" s="9"/>
      <c r="F8" s="63">
        <v>5638222319</v>
      </c>
      <c r="G8" s="16"/>
      <c r="H8" s="7"/>
      <c r="I8" s="7"/>
      <c r="J8" s="17"/>
      <c r="K8" s="7"/>
      <c r="L8" s="7"/>
      <c r="M8" s="7"/>
      <c r="N8" s="7"/>
    </row>
    <row r="9" spans="1:14">
      <c r="A9" s="51">
        <v>43511</v>
      </c>
      <c r="B9" s="7" t="s">
        <v>21</v>
      </c>
      <c r="C9" s="1" t="s">
        <v>23</v>
      </c>
      <c r="D9" s="12">
        <v>293.8</v>
      </c>
      <c r="E9" s="9"/>
      <c r="F9" s="65" t="s">
        <v>806</v>
      </c>
      <c r="G9" s="1"/>
      <c r="H9" s="1"/>
      <c r="I9" s="1"/>
      <c r="J9" s="18"/>
      <c r="K9" s="1"/>
      <c r="L9" s="1"/>
      <c r="M9" s="1"/>
      <c r="N9" s="1"/>
    </row>
    <row r="10" spans="1:14">
      <c r="A10" s="51">
        <v>43504</v>
      </c>
      <c r="B10" s="7" t="s">
        <v>21</v>
      </c>
      <c r="C10" s="1" t="s">
        <v>25</v>
      </c>
      <c r="D10" s="12">
        <v>30.25</v>
      </c>
      <c r="E10" s="16"/>
      <c r="F10" s="63" t="s">
        <v>807</v>
      </c>
      <c r="G10" s="11"/>
      <c r="H10" s="11"/>
      <c r="I10" s="11"/>
      <c r="J10" s="19"/>
      <c r="K10" s="11"/>
      <c r="L10" s="11"/>
      <c r="M10" s="11"/>
      <c r="N10" s="11"/>
    </row>
    <row r="11" spans="1:14">
      <c r="A11" s="51">
        <v>43511</v>
      </c>
      <c r="B11" s="7" t="s">
        <v>21</v>
      </c>
      <c r="C11" s="1" t="s">
        <v>548</v>
      </c>
      <c r="D11" s="12">
        <v>297</v>
      </c>
      <c r="E11" s="16"/>
      <c r="F11" s="63"/>
      <c r="G11" s="11"/>
      <c r="H11" s="11"/>
      <c r="I11" s="11"/>
      <c r="J11" s="19"/>
      <c r="K11" s="11"/>
      <c r="L11" s="11"/>
      <c r="M11" s="11"/>
      <c r="N11" s="11"/>
    </row>
    <row r="12" spans="1:14">
      <c r="A12" s="51">
        <v>43511</v>
      </c>
      <c r="B12" s="7" t="s">
        <v>27</v>
      </c>
      <c r="C12" s="1" t="s">
        <v>28</v>
      </c>
      <c r="D12" s="12">
        <v>77.95</v>
      </c>
      <c r="E12" s="9"/>
      <c r="F12" s="63" t="s">
        <v>808</v>
      </c>
      <c r="G12" s="11"/>
      <c r="H12" s="11"/>
      <c r="I12" s="11"/>
      <c r="J12" s="19"/>
      <c r="K12" s="11"/>
      <c r="L12" s="11"/>
      <c r="M12" s="11"/>
      <c r="N12" s="11"/>
    </row>
    <row r="13" spans="1:14">
      <c r="A13" s="51" t="s">
        <v>9</v>
      </c>
      <c r="B13" s="7" t="s">
        <v>27</v>
      </c>
      <c r="C13" s="1" t="s">
        <v>333</v>
      </c>
      <c r="D13" s="12">
        <v>64</v>
      </c>
      <c r="E13" s="9"/>
      <c r="F13" s="65"/>
      <c r="G13" s="20"/>
      <c r="H13" s="11"/>
      <c r="I13" s="11"/>
      <c r="J13" s="19"/>
      <c r="K13" s="11"/>
      <c r="L13" s="11"/>
      <c r="M13" s="11"/>
      <c r="N13" s="11"/>
    </row>
    <row r="14" spans="1:14">
      <c r="A14" s="51">
        <v>43504</v>
      </c>
      <c r="B14" s="7" t="s">
        <v>105</v>
      </c>
      <c r="C14" s="1" t="s">
        <v>186</v>
      </c>
      <c r="D14" s="12">
        <v>53.1</v>
      </c>
      <c r="E14" s="12"/>
      <c r="F14" s="65" t="s">
        <v>809</v>
      </c>
      <c r="G14" s="35"/>
      <c r="H14" s="1"/>
      <c r="I14" s="1"/>
      <c r="J14" s="18"/>
      <c r="K14" s="1"/>
      <c r="L14" s="1"/>
      <c r="M14" s="1"/>
      <c r="N14" s="1"/>
    </row>
    <row r="15" spans="1:14">
      <c r="A15" s="51">
        <v>43519</v>
      </c>
      <c r="B15" s="7" t="s">
        <v>367</v>
      </c>
      <c r="C15" s="1" t="s">
        <v>35</v>
      </c>
      <c r="D15" s="12">
        <v>161</v>
      </c>
      <c r="E15" s="9"/>
      <c r="F15" s="65" t="s">
        <v>810</v>
      </c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>
        <v>43511</v>
      </c>
      <c r="B19" s="1" t="s">
        <v>45</v>
      </c>
      <c r="C19" s="1" t="s">
        <v>258</v>
      </c>
      <c r="D19" s="12">
        <v>27</v>
      </c>
      <c r="E19" s="1"/>
      <c r="F19" s="65" t="s">
        <v>811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43504</v>
      </c>
      <c r="B20" s="1" t="s">
        <v>45</v>
      </c>
      <c r="C20" s="1" t="s">
        <v>46</v>
      </c>
      <c r="D20" s="12"/>
      <c r="E20" s="1"/>
      <c r="F20" s="63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43511</v>
      </c>
      <c r="B21" s="1" t="s">
        <v>48</v>
      </c>
      <c r="C21" s="1" t="s">
        <v>49</v>
      </c>
      <c r="D21" s="12">
        <f>D7+D13+14</f>
        <v>91.99</v>
      </c>
      <c r="E21" s="1"/>
      <c r="F21" s="63"/>
      <c r="H21" s="1"/>
      <c r="I21" s="1"/>
      <c r="J21" s="18"/>
      <c r="K21" s="1"/>
      <c r="L21" s="1"/>
      <c r="M21" s="1"/>
      <c r="N21" s="1"/>
    </row>
    <row r="22" spans="1:14">
      <c r="A22" s="51">
        <v>43511</v>
      </c>
      <c r="B22" s="1" t="s">
        <v>27</v>
      </c>
      <c r="C22" s="1" t="s">
        <v>43</v>
      </c>
      <c r="D22" s="12"/>
      <c r="E22" s="1"/>
      <c r="F22" s="63" t="s">
        <v>812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43511</v>
      </c>
      <c r="B24" s="1" t="s">
        <v>38</v>
      </c>
      <c r="C24" s="1" t="s">
        <v>39</v>
      </c>
      <c r="D24" s="23">
        <v>0</v>
      </c>
      <c r="E24" s="1"/>
      <c r="F24" s="65" t="s">
        <v>813</v>
      </c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54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22" t="s">
        <v>56</v>
      </c>
      <c r="D27" s="28">
        <f>SUM(D3:D25)</f>
        <v>2624.0499999999997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100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5292.78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2768.73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692.1825</v>
      </c>
      <c r="D34" s="12"/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1"/>
      <c r="L35" s="1"/>
      <c r="M35" s="1"/>
      <c r="N35" s="1"/>
    </row>
    <row r="36" spans="2:14">
      <c r="F36" s="66"/>
    </row>
    <row r="38" spans="2:14">
      <c r="B38" s="1"/>
      <c r="C38" s="34">
        <v>200</v>
      </c>
      <c r="D38" s="12" t="s">
        <v>61</v>
      </c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>
        <v>40</v>
      </c>
      <c r="D39" s="12" t="s">
        <v>62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 t="s">
        <v>194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>
        <f>C34-C38-C39-C40</f>
        <v>452.1825</v>
      </c>
      <c r="D41" s="12" t="s">
        <v>63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N47"/>
  <sheetViews>
    <sheetView zoomScaleNormal="100" workbookViewId="0">
      <selection activeCell="I22" sqref="I2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814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43525</v>
      </c>
      <c r="B3" s="7" t="s">
        <v>6</v>
      </c>
      <c r="C3" s="1" t="s">
        <v>359</v>
      </c>
      <c r="D3" s="8">
        <v>1162.19</v>
      </c>
      <c r="E3" s="9"/>
      <c r="F3" s="63" t="s">
        <v>815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43525</v>
      </c>
      <c r="B4" s="7" t="s">
        <v>10</v>
      </c>
      <c r="C4" s="1" t="s">
        <v>13</v>
      </c>
      <c r="D4" s="12">
        <v>168.78</v>
      </c>
      <c r="E4" s="9"/>
      <c r="F4" s="64" t="s">
        <v>816</v>
      </c>
      <c r="G4" s="11"/>
      <c r="H4" s="11"/>
      <c r="I4" s="59"/>
      <c r="J4" s="19"/>
      <c r="K4" s="11"/>
      <c r="L4" s="11"/>
      <c r="M4" s="11"/>
      <c r="N4" s="11"/>
    </row>
    <row r="5" spans="1:14">
      <c r="A5" s="51">
        <v>43525</v>
      </c>
      <c r="B5" s="7" t="s">
        <v>155</v>
      </c>
      <c r="C5" s="1" t="s">
        <v>16</v>
      </c>
      <c r="D5" s="12">
        <v>70</v>
      </c>
      <c r="E5" s="12"/>
      <c r="F5" s="63" t="s">
        <v>817</v>
      </c>
      <c r="G5" s="11"/>
      <c r="H5" s="11"/>
      <c r="I5" s="11"/>
      <c r="J5" s="19"/>
      <c r="K5" s="11"/>
      <c r="L5" s="11"/>
      <c r="M5" s="11"/>
      <c r="N5" s="11"/>
    </row>
    <row r="6" spans="1:14">
      <c r="A6" s="51" t="s">
        <v>9</v>
      </c>
      <c r="B6" s="56" t="s">
        <v>746</v>
      </c>
      <c r="C6" s="1" t="s">
        <v>805</v>
      </c>
      <c r="D6" s="12">
        <v>0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 t="s">
        <v>9</v>
      </c>
      <c r="B7" s="56" t="s">
        <v>581</v>
      </c>
      <c r="C7" s="1" t="s">
        <v>747</v>
      </c>
      <c r="D7" s="12">
        <v>13.99</v>
      </c>
      <c r="E7" s="9"/>
      <c r="F7" s="63"/>
      <c r="G7" s="16"/>
      <c r="H7" s="7"/>
      <c r="I7" s="7"/>
      <c r="J7" s="17"/>
      <c r="K7" s="7"/>
      <c r="L7" s="7"/>
      <c r="M7" s="7"/>
      <c r="N7" s="7"/>
    </row>
    <row r="8" spans="1:14">
      <c r="A8" s="51">
        <v>43525</v>
      </c>
      <c r="B8" s="56" t="s">
        <v>303</v>
      </c>
      <c r="C8" s="1" t="s">
        <v>767</v>
      </c>
      <c r="D8" s="12">
        <v>119</v>
      </c>
      <c r="E8" s="9"/>
      <c r="F8" s="63">
        <v>1442356006</v>
      </c>
      <c r="G8" s="16"/>
      <c r="H8" s="7"/>
      <c r="I8" s="7"/>
      <c r="J8" s="17"/>
      <c r="K8" s="7"/>
      <c r="L8" s="7"/>
      <c r="M8" s="7"/>
      <c r="N8" s="7"/>
    </row>
    <row r="9" spans="1:14">
      <c r="A9" s="51">
        <v>43539</v>
      </c>
      <c r="B9" s="7" t="s">
        <v>21</v>
      </c>
      <c r="C9" s="1" t="s">
        <v>23</v>
      </c>
      <c r="D9" s="12">
        <v>293.8</v>
      </c>
      <c r="E9" s="9"/>
      <c r="F9" s="65" t="s">
        <v>818</v>
      </c>
      <c r="G9" s="1"/>
      <c r="H9" s="1"/>
      <c r="I9" s="1"/>
      <c r="J9" s="18"/>
      <c r="K9" s="1"/>
      <c r="L9" s="1"/>
      <c r="M9" s="1"/>
      <c r="N9" s="1"/>
    </row>
    <row r="10" spans="1:14">
      <c r="A10" s="51" t="s">
        <v>9</v>
      </c>
      <c r="B10" s="7" t="s">
        <v>21</v>
      </c>
      <c r="C10" s="1" t="s">
        <v>25</v>
      </c>
      <c r="D10" s="12">
        <v>30.25</v>
      </c>
      <c r="E10" s="16"/>
      <c r="F10" s="63"/>
      <c r="G10" s="11"/>
      <c r="H10" s="11"/>
      <c r="I10" s="11"/>
      <c r="J10" s="19"/>
      <c r="K10" s="11"/>
      <c r="L10" s="11"/>
      <c r="M10" s="11"/>
      <c r="N10" s="11"/>
    </row>
    <row r="11" spans="1:14">
      <c r="A11" s="51">
        <v>43539</v>
      </c>
      <c r="B11" s="7" t="s">
        <v>21</v>
      </c>
      <c r="C11" s="1" t="s">
        <v>548</v>
      </c>
      <c r="D11" s="12">
        <v>297</v>
      </c>
      <c r="E11" s="16"/>
      <c r="F11" s="63"/>
      <c r="G11" s="11"/>
      <c r="H11" s="11"/>
      <c r="I11" s="11"/>
      <c r="J11" s="19"/>
      <c r="K11" s="11"/>
      <c r="L11" s="11"/>
      <c r="M11" s="11"/>
      <c r="N11" s="11"/>
    </row>
    <row r="12" spans="1:14">
      <c r="A12" s="51">
        <v>43539</v>
      </c>
      <c r="B12" s="7" t="s">
        <v>27</v>
      </c>
      <c r="C12" s="1" t="s">
        <v>28</v>
      </c>
      <c r="D12" s="12">
        <v>77.95</v>
      </c>
      <c r="E12" s="9"/>
      <c r="F12" s="63" t="s">
        <v>819</v>
      </c>
      <c r="G12" s="11"/>
      <c r="H12" s="11"/>
      <c r="I12" s="11"/>
      <c r="J12" s="19"/>
      <c r="K12" s="11"/>
      <c r="L12" s="11"/>
      <c r="M12" s="11"/>
      <c r="N12" s="11"/>
    </row>
    <row r="13" spans="1:14">
      <c r="A13" s="51" t="s">
        <v>9</v>
      </c>
      <c r="B13" s="7" t="s">
        <v>27</v>
      </c>
      <c r="C13" s="1" t="s">
        <v>333</v>
      </c>
      <c r="D13" s="12">
        <v>64</v>
      </c>
      <c r="E13" s="9"/>
      <c r="F13" s="65"/>
      <c r="G13" s="20"/>
      <c r="H13" s="11"/>
      <c r="I13" s="11"/>
      <c r="J13" s="19"/>
      <c r="K13" s="11"/>
      <c r="L13" s="11"/>
      <c r="M13" s="11"/>
      <c r="N13" s="11"/>
    </row>
    <row r="14" spans="1:14">
      <c r="A14" s="51">
        <v>43539</v>
      </c>
      <c r="B14" s="7" t="s">
        <v>105</v>
      </c>
      <c r="C14" s="1" t="s">
        <v>186</v>
      </c>
      <c r="D14" s="12">
        <v>53.1</v>
      </c>
      <c r="E14" s="12"/>
      <c r="F14" s="65" t="s">
        <v>820</v>
      </c>
      <c r="G14" s="35"/>
      <c r="H14" s="1"/>
      <c r="I14" s="1"/>
      <c r="J14" s="18"/>
      <c r="K14" s="1"/>
      <c r="L14" s="1"/>
      <c r="M14" s="1"/>
      <c r="N14" s="1"/>
    </row>
    <row r="15" spans="1:14">
      <c r="A15" s="51">
        <v>43553</v>
      </c>
      <c r="B15" s="7" t="s">
        <v>367</v>
      </c>
      <c r="C15" s="1" t="s">
        <v>35</v>
      </c>
      <c r="D15" s="12">
        <v>161</v>
      </c>
      <c r="E15" s="9"/>
      <c r="F15" s="65" t="s">
        <v>821</v>
      </c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>
        <v>43525</v>
      </c>
      <c r="B19" s="1" t="s">
        <v>45</v>
      </c>
      <c r="C19" s="1" t="s">
        <v>258</v>
      </c>
      <c r="D19" s="12">
        <v>27</v>
      </c>
      <c r="E19" s="1"/>
      <c r="F19" s="65" t="s">
        <v>822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43525</v>
      </c>
      <c r="B20" s="1" t="s">
        <v>45</v>
      </c>
      <c r="C20" s="1" t="s">
        <v>46</v>
      </c>
      <c r="D20" s="12"/>
      <c r="E20" s="1"/>
      <c r="F20" s="63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43539</v>
      </c>
      <c r="B21" s="1" t="s">
        <v>48</v>
      </c>
      <c r="C21" s="1" t="s">
        <v>49</v>
      </c>
      <c r="D21" s="12">
        <f>D7+D13+14</f>
        <v>91.99</v>
      </c>
      <c r="E21" s="1"/>
      <c r="F21" s="63"/>
      <c r="H21" s="1"/>
      <c r="I21" s="1"/>
      <c r="J21" s="18"/>
      <c r="K21" s="1"/>
      <c r="L21" s="1"/>
      <c r="M21" s="1"/>
      <c r="N21" s="1"/>
    </row>
    <row r="22" spans="1:14">
      <c r="A22" s="51">
        <v>43541</v>
      </c>
      <c r="B22" s="1" t="s">
        <v>27</v>
      </c>
      <c r="C22" s="1" t="s">
        <v>43</v>
      </c>
      <c r="D22" s="12"/>
      <c r="E22" s="1"/>
      <c r="F22" s="63" t="s">
        <v>823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>
        <v>43539</v>
      </c>
      <c r="B23" s="1" t="s">
        <v>51</v>
      </c>
      <c r="C23" s="1" t="s">
        <v>52</v>
      </c>
      <c r="E23" s="1"/>
      <c r="F23" s="65" t="s">
        <v>824</v>
      </c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65"/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54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22" t="s">
        <v>56</v>
      </c>
      <c r="D27" s="28">
        <f>SUM(D3:D25)</f>
        <v>2630.0499999999997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100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5292.78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2762.73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690.6825</v>
      </c>
      <c r="D34" s="12"/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1"/>
      <c r="L35" s="1"/>
      <c r="M35" s="1"/>
      <c r="N35" s="1"/>
    </row>
    <row r="36" spans="2:14">
      <c r="F36" s="66"/>
    </row>
    <row r="38" spans="2:14">
      <c r="B38" s="1"/>
      <c r="C38" s="34">
        <v>200</v>
      </c>
      <c r="D38" s="12" t="s">
        <v>61</v>
      </c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>
        <v>40</v>
      </c>
      <c r="D39" s="12" t="s">
        <v>62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 t="s">
        <v>194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>
        <f>C34-C38-C39-C40</f>
        <v>450.6825</v>
      </c>
      <c r="D41" s="12" t="s">
        <v>63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47"/>
  <sheetViews>
    <sheetView zoomScaleNormal="100" workbookViewId="0">
      <selection activeCell="I22" sqref="I2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825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43553</v>
      </c>
      <c r="B3" s="7" t="s">
        <v>6</v>
      </c>
      <c r="C3" s="1" t="s">
        <v>359</v>
      </c>
      <c r="D3" s="8">
        <v>1162.19</v>
      </c>
      <c r="E3" s="9"/>
      <c r="F3" s="67" t="s">
        <v>826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43553</v>
      </c>
      <c r="B4" s="7" t="s">
        <v>10</v>
      </c>
      <c r="C4" s="1" t="s">
        <v>13</v>
      </c>
      <c r="D4" s="12">
        <v>168.78</v>
      </c>
      <c r="E4" s="9"/>
      <c r="F4" s="64" t="s">
        <v>827</v>
      </c>
      <c r="G4" s="11"/>
      <c r="H4" s="11"/>
      <c r="I4" s="59"/>
      <c r="J4" s="19"/>
      <c r="K4" s="11"/>
      <c r="L4" s="11"/>
      <c r="M4" s="11"/>
      <c r="N4" s="11"/>
    </row>
    <row r="5" spans="1:14">
      <c r="A5" s="51">
        <v>43567</v>
      </c>
      <c r="B5" s="7" t="s">
        <v>155</v>
      </c>
      <c r="C5" s="1" t="s">
        <v>16</v>
      </c>
      <c r="D5" s="12">
        <v>70</v>
      </c>
      <c r="E5" s="12"/>
      <c r="F5" s="63" t="s">
        <v>828</v>
      </c>
      <c r="G5" s="11"/>
      <c r="H5" s="11"/>
      <c r="I5" s="11"/>
      <c r="J5" s="19"/>
      <c r="K5" s="11"/>
      <c r="L5" s="11"/>
      <c r="M5" s="11"/>
      <c r="N5" s="11"/>
    </row>
    <row r="6" spans="1:14">
      <c r="A6" s="51" t="s">
        <v>9</v>
      </c>
      <c r="B6" s="56" t="s">
        <v>746</v>
      </c>
      <c r="C6" s="1" t="s">
        <v>805</v>
      </c>
      <c r="D6" s="12">
        <v>0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 t="s">
        <v>9</v>
      </c>
      <c r="B7" s="56" t="s">
        <v>581</v>
      </c>
      <c r="C7" s="1" t="s">
        <v>747</v>
      </c>
      <c r="D7" s="12">
        <v>13.99</v>
      </c>
      <c r="E7" s="9"/>
      <c r="F7" s="63"/>
      <c r="G7" s="16"/>
      <c r="H7" s="7"/>
      <c r="I7" s="7"/>
      <c r="J7" s="17"/>
      <c r="K7" s="7"/>
      <c r="L7" s="7"/>
      <c r="M7" s="7"/>
      <c r="N7" s="7"/>
    </row>
    <row r="8" spans="1:14">
      <c r="A8" s="51">
        <v>43567</v>
      </c>
      <c r="B8" s="56" t="s">
        <v>303</v>
      </c>
      <c r="C8" s="1" t="s">
        <v>767</v>
      </c>
      <c r="D8" s="12">
        <v>119</v>
      </c>
      <c r="E8" s="9"/>
      <c r="F8" s="63">
        <v>2854334986</v>
      </c>
      <c r="G8" s="16"/>
      <c r="H8" s="7"/>
      <c r="I8" s="7"/>
      <c r="J8" s="17"/>
      <c r="K8" s="7"/>
      <c r="L8" s="7"/>
      <c r="M8" s="7"/>
      <c r="N8" s="7"/>
    </row>
    <row r="9" spans="1:14">
      <c r="A9" s="51">
        <v>43567</v>
      </c>
      <c r="B9" s="7" t="s">
        <v>21</v>
      </c>
      <c r="C9" s="1" t="s">
        <v>23</v>
      </c>
      <c r="D9" s="12">
        <v>293.8</v>
      </c>
      <c r="E9" s="9"/>
      <c r="F9" s="65" t="s">
        <v>829</v>
      </c>
      <c r="G9" s="1"/>
      <c r="H9" s="1"/>
      <c r="I9" s="1"/>
      <c r="J9" s="18"/>
      <c r="K9" s="1"/>
      <c r="L9" s="1"/>
      <c r="M9" s="1"/>
      <c r="N9" s="1"/>
    </row>
    <row r="10" spans="1:14">
      <c r="A10" s="51">
        <v>43567</v>
      </c>
      <c r="B10" s="7" t="s">
        <v>21</v>
      </c>
      <c r="C10" s="1" t="s">
        <v>25</v>
      </c>
      <c r="D10" s="12">
        <v>30.25</v>
      </c>
      <c r="E10" s="16"/>
      <c r="F10" s="63" t="s">
        <v>830</v>
      </c>
      <c r="G10" s="11"/>
      <c r="H10" s="11"/>
      <c r="I10" s="11"/>
      <c r="J10" s="19"/>
      <c r="K10" s="11"/>
      <c r="L10" s="11"/>
      <c r="M10" s="11"/>
      <c r="N10" s="11"/>
    </row>
    <row r="11" spans="1:14">
      <c r="A11" s="51">
        <v>43567</v>
      </c>
      <c r="B11" s="7" t="s">
        <v>21</v>
      </c>
      <c r="C11" s="1" t="s">
        <v>548</v>
      </c>
      <c r="D11" s="12">
        <v>297</v>
      </c>
      <c r="E11" s="16"/>
      <c r="F11" s="63"/>
      <c r="G11" s="11"/>
      <c r="H11" s="11"/>
      <c r="I11" s="11"/>
      <c r="J11" s="19"/>
      <c r="K11" s="11"/>
      <c r="L11" s="11"/>
      <c r="M11" s="11"/>
      <c r="N11" s="11"/>
    </row>
    <row r="12" spans="1:14">
      <c r="A12" s="51">
        <v>43567</v>
      </c>
      <c r="B12" s="7" t="s">
        <v>27</v>
      </c>
      <c r="C12" s="1" t="s">
        <v>28</v>
      </c>
      <c r="D12" s="12">
        <v>77.95</v>
      </c>
      <c r="E12" s="9"/>
      <c r="F12" s="63" t="s">
        <v>831</v>
      </c>
      <c r="G12" s="11"/>
      <c r="H12" s="11"/>
      <c r="I12" s="11"/>
      <c r="J12" s="19"/>
      <c r="K12" s="11"/>
      <c r="L12" s="11"/>
      <c r="M12" s="11"/>
      <c r="N12" s="11"/>
    </row>
    <row r="13" spans="1:14">
      <c r="A13" s="51" t="s">
        <v>9</v>
      </c>
      <c r="B13" s="7" t="s">
        <v>27</v>
      </c>
      <c r="C13" s="1" t="s">
        <v>333</v>
      </c>
      <c r="D13" s="12">
        <v>110</v>
      </c>
      <c r="E13" s="9"/>
      <c r="F13" s="65"/>
      <c r="G13" s="20"/>
      <c r="H13" s="11"/>
      <c r="I13" s="11"/>
      <c r="J13" s="19"/>
      <c r="K13" s="11"/>
      <c r="L13" s="11"/>
      <c r="M13" s="11"/>
      <c r="N13" s="11"/>
    </row>
    <row r="14" spans="1:14">
      <c r="A14" s="51">
        <v>43567</v>
      </c>
      <c r="B14" s="7" t="s">
        <v>105</v>
      </c>
      <c r="C14" s="1" t="s">
        <v>186</v>
      </c>
      <c r="D14" s="12">
        <v>53.1</v>
      </c>
      <c r="E14" s="12"/>
      <c r="F14" s="65" t="s">
        <v>832</v>
      </c>
      <c r="G14" s="35"/>
      <c r="H14" s="1"/>
      <c r="I14" s="1"/>
      <c r="J14" s="18"/>
      <c r="K14" s="1"/>
      <c r="L14" s="1"/>
      <c r="M14" s="1"/>
      <c r="N14" s="1"/>
    </row>
    <row r="15" spans="1:14">
      <c r="A15" s="51">
        <v>43581</v>
      </c>
      <c r="B15" s="7" t="s">
        <v>367</v>
      </c>
      <c r="C15" s="1" t="s">
        <v>35</v>
      </c>
      <c r="D15" s="12">
        <v>161</v>
      </c>
      <c r="E15" s="9"/>
      <c r="F15" s="65" t="s">
        <v>833</v>
      </c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>
        <v>43564</v>
      </c>
      <c r="B19" s="1" t="s">
        <v>45</v>
      </c>
      <c r="C19" s="1" t="s">
        <v>258</v>
      </c>
      <c r="D19" s="12">
        <v>27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43565</v>
      </c>
      <c r="B20" s="1" t="s">
        <v>45</v>
      </c>
      <c r="C20" s="1" t="s">
        <v>46</v>
      </c>
      <c r="D20" s="12"/>
      <c r="E20" s="1"/>
      <c r="F20" s="63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43567</v>
      </c>
      <c r="B21" s="1" t="s">
        <v>48</v>
      </c>
      <c r="C21" s="1" t="s">
        <v>49</v>
      </c>
      <c r="D21" s="12">
        <f>D7+D13+14</f>
        <v>137.99</v>
      </c>
      <c r="E21" s="1"/>
      <c r="F21" s="63"/>
      <c r="H21" s="1"/>
      <c r="I21" s="1"/>
      <c r="J21" s="18"/>
      <c r="K21" s="1"/>
      <c r="L21" s="1"/>
      <c r="M21" s="1"/>
      <c r="N21" s="1"/>
    </row>
    <row r="22" spans="1:14">
      <c r="A22" s="51">
        <v>43567</v>
      </c>
      <c r="B22" s="1" t="s">
        <v>27</v>
      </c>
      <c r="C22" s="1" t="s">
        <v>43</v>
      </c>
      <c r="D22" s="12"/>
      <c r="E22" s="1"/>
      <c r="F22" s="63" t="s">
        <v>834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65"/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54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SUM(D3:D20,D22,D23,D24,D25)</f>
        <v>2584.06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100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5292.78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2808.72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702.18</v>
      </c>
      <c r="D34" s="12"/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1"/>
      <c r="L35" s="1"/>
      <c r="M35" s="1"/>
      <c r="N35" s="1"/>
    </row>
    <row r="36" spans="2:14">
      <c r="F36" s="66"/>
    </row>
    <row r="38" spans="2:14">
      <c r="B38" s="1"/>
      <c r="C38" s="34">
        <v>200</v>
      </c>
      <c r="D38" s="12" t="s">
        <v>61</v>
      </c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>
        <v>40</v>
      </c>
      <c r="D39" s="12" t="s">
        <v>62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 t="s">
        <v>194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>
        <f>C34-C38-C39-C40</f>
        <v>462.17999999999995</v>
      </c>
      <c r="D41" s="12" t="s">
        <v>63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47"/>
  <sheetViews>
    <sheetView zoomScaleNormal="100" workbookViewId="0">
      <selection activeCell="I22" sqref="I2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835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43586</v>
      </c>
      <c r="B3" s="7" t="s">
        <v>6</v>
      </c>
      <c r="C3" s="1" t="s">
        <v>359</v>
      </c>
      <c r="D3" s="8">
        <v>1162.19</v>
      </c>
      <c r="E3" s="9"/>
      <c r="F3" s="67" t="s">
        <v>836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43586</v>
      </c>
      <c r="B4" s="7" t="s">
        <v>10</v>
      </c>
      <c r="C4" s="1" t="s">
        <v>13</v>
      </c>
      <c r="D4" s="12">
        <v>168.78</v>
      </c>
      <c r="E4" s="9"/>
      <c r="F4" s="64" t="s">
        <v>837</v>
      </c>
      <c r="G4" s="11"/>
      <c r="H4" s="11"/>
      <c r="I4" s="59"/>
      <c r="J4" s="19"/>
      <c r="K4" s="11"/>
      <c r="L4" s="11"/>
      <c r="M4" s="11"/>
      <c r="N4" s="11"/>
    </row>
    <row r="5" spans="1:14">
      <c r="A5" s="51">
        <v>43595</v>
      </c>
      <c r="B5" s="7" t="s">
        <v>155</v>
      </c>
      <c r="C5" s="1" t="s">
        <v>16</v>
      </c>
      <c r="D5" s="12">
        <v>70</v>
      </c>
      <c r="E5" s="12"/>
      <c r="F5" s="63" t="s">
        <v>838</v>
      </c>
      <c r="G5" s="11"/>
      <c r="H5" s="11"/>
      <c r="I5" s="11"/>
      <c r="J5" s="19"/>
      <c r="K5" s="11"/>
      <c r="L5" s="11"/>
      <c r="M5" s="11"/>
      <c r="N5" s="11"/>
    </row>
    <row r="6" spans="1:14">
      <c r="A6" s="51" t="s">
        <v>9</v>
      </c>
      <c r="B6" s="56" t="s">
        <v>746</v>
      </c>
      <c r="C6" s="1" t="s">
        <v>805</v>
      </c>
      <c r="D6" s="12">
        <v>0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 t="s">
        <v>9</v>
      </c>
      <c r="B7" s="56" t="s">
        <v>581</v>
      </c>
      <c r="C7" s="1" t="s">
        <v>747</v>
      </c>
      <c r="D7" s="12">
        <v>13.99</v>
      </c>
      <c r="E7" s="9"/>
      <c r="F7" s="63"/>
      <c r="G7" s="16"/>
      <c r="H7" s="7"/>
      <c r="I7" s="7"/>
      <c r="J7" s="17"/>
      <c r="K7" s="7"/>
      <c r="L7" s="7"/>
      <c r="M7" s="7"/>
      <c r="N7" s="7"/>
    </row>
    <row r="8" spans="1:14">
      <c r="A8" s="51">
        <v>43595</v>
      </c>
      <c r="B8" s="56" t="s">
        <v>303</v>
      </c>
      <c r="C8" s="1" t="s">
        <v>767</v>
      </c>
      <c r="D8" s="12">
        <v>119</v>
      </c>
      <c r="E8" s="9"/>
      <c r="F8" s="63">
        <v>3361974096</v>
      </c>
      <c r="G8" s="16"/>
      <c r="H8" s="7"/>
      <c r="I8" s="7"/>
      <c r="J8" s="17"/>
      <c r="K8" s="7"/>
      <c r="L8" s="7"/>
      <c r="M8" s="7"/>
      <c r="N8" s="7"/>
    </row>
    <row r="9" spans="1:14">
      <c r="A9" s="51">
        <v>43595</v>
      </c>
      <c r="B9" s="7" t="s">
        <v>21</v>
      </c>
      <c r="C9" s="1" t="s">
        <v>23</v>
      </c>
      <c r="D9" s="12">
        <v>293.8</v>
      </c>
      <c r="E9" s="9"/>
      <c r="F9" s="65" t="s">
        <v>839</v>
      </c>
      <c r="G9" s="1"/>
      <c r="H9" s="1"/>
      <c r="I9" s="1"/>
      <c r="J9" s="18"/>
      <c r="K9" s="1"/>
      <c r="L9" s="1"/>
      <c r="M9" s="1"/>
      <c r="N9" s="1"/>
    </row>
    <row r="10" spans="1:14">
      <c r="A10" s="51" t="s">
        <v>9</v>
      </c>
      <c r="B10" s="7" t="s">
        <v>21</v>
      </c>
      <c r="C10" s="1" t="s">
        <v>25</v>
      </c>
      <c r="D10" s="12">
        <v>30.25</v>
      </c>
      <c r="E10" s="16"/>
      <c r="F10" s="63"/>
      <c r="G10" s="11"/>
      <c r="H10" s="11"/>
      <c r="I10" s="11"/>
      <c r="J10" s="19"/>
      <c r="K10" s="11"/>
      <c r="L10" s="11"/>
      <c r="M10" s="11"/>
      <c r="N10" s="11"/>
    </row>
    <row r="11" spans="1:14">
      <c r="A11" s="51">
        <v>43595</v>
      </c>
      <c r="B11" s="7" t="s">
        <v>21</v>
      </c>
      <c r="C11" s="1" t="s">
        <v>548</v>
      </c>
      <c r="D11" s="12">
        <v>297</v>
      </c>
      <c r="E11" s="16"/>
      <c r="F11" s="63"/>
      <c r="G11" s="11"/>
      <c r="H11" s="11"/>
      <c r="I11" s="11"/>
      <c r="J11" s="19"/>
      <c r="K11" s="11"/>
      <c r="L11" s="11"/>
      <c r="M11" s="11"/>
      <c r="N11" s="11"/>
    </row>
    <row r="12" spans="1:14">
      <c r="A12" s="51">
        <v>43595</v>
      </c>
      <c r="B12" s="7" t="s">
        <v>27</v>
      </c>
      <c r="C12" s="1" t="s">
        <v>28</v>
      </c>
      <c r="D12" s="12">
        <v>77.95</v>
      </c>
      <c r="E12" s="9"/>
      <c r="F12" s="63" t="s">
        <v>840</v>
      </c>
      <c r="G12" s="11"/>
      <c r="H12" s="11"/>
      <c r="I12" s="11"/>
      <c r="J12" s="19"/>
      <c r="K12" s="11"/>
      <c r="L12" s="11"/>
      <c r="M12" s="11"/>
      <c r="N12" s="11"/>
    </row>
    <row r="13" spans="1:14">
      <c r="A13" s="51" t="s">
        <v>9</v>
      </c>
      <c r="B13" s="7" t="s">
        <v>27</v>
      </c>
      <c r="C13" s="1" t="s">
        <v>333</v>
      </c>
      <c r="D13" s="12">
        <v>110</v>
      </c>
      <c r="E13" s="9"/>
      <c r="F13" s="65"/>
      <c r="G13" s="20"/>
      <c r="H13" s="11"/>
      <c r="I13" s="11"/>
      <c r="J13" s="19"/>
      <c r="K13" s="11"/>
      <c r="L13" s="11"/>
      <c r="M13" s="11"/>
      <c r="N13" s="11"/>
    </row>
    <row r="14" spans="1:14">
      <c r="A14" s="51">
        <v>43595</v>
      </c>
      <c r="B14" s="7" t="s">
        <v>31</v>
      </c>
      <c r="C14" s="1" t="s">
        <v>186</v>
      </c>
      <c r="D14" s="12">
        <v>53.1</v>
      </c>
      <c r="E14" s="12"/>
      <c r="F14" s="65" t="s">
        <v>841</v>
      </c>
      <c r="G14" s="35"/>
      <c r="H14" s="1"/>
      <c r="I14" s="1"/>
      <c r="J14" s="18"/>
      <c r="K14" s="1"/>
      <c r="L14" s="1"/>
      <c r="M14" s="1"/>
      <c r="N14" s="1"/>
    </row>
    <row r="15" spans="1:14">
      <c r="A15" s="51">
        <v>43609</v>
      </c>
      <c r="B15" s="7" t="s">
        <v>367</v>
      </c>
      <c r="C15" s="1" t="s">
        <v>35</v>
      </c>
      <c r="D15" s="12">
        <v>161</v>
      </c>
      <c r="E15" s="9"/>
      <c r="F15" s="65" t="s">
        <v>842</v>
      </c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>
        <v>43595</v>
      </c>
      <c r="B19" s="1" t="s">
        <v>45</v>
      </c>
      <c r="C19" s="1" t="s">
        <v>258</v>
      </c>
      <c r="D19" s="12">
        <v>27</v>
      </c>
      <c r="E19" s="1"/>
      <c r="F19" s="65" t="s">
        <v>843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43595</v>
      </c>
      <c r="B20" s="1" t="s">
        <v>45</v>
      </c>
      <c r="C20" s="1" t="s">
        <v>46</v>
      </c>
      <c r="D20" s="12"/>
      <c r="E20" s="1"/>
      <c r="F20" s="63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43595</v>
      </c>
      <c r="B21" s="1" t="s">
        <v>48</v>
      </c>
      <c r="C21" s="1" t="s">
        <v>49</v>
      </c>
      <c r="D21" s="12">
        <f>D7+D13+14</f>
        <v>137.99</v>
      </c>
      <c r="E21" s="1"/>
      <c r="F21" s="63"/>
      <c r="H21" s="1"/>
      <c r="I21" s="1"/>
      <c r="J21" s="18"/>
      <c r="K21" s="1"/>
      <c r="L21" s="1"/>
      <c r="M21" s="1"/>
      <c r="N21" s="1"/>
    </row>
    <row r="22" spans="1:14">
      <c r="A22" s="51">
        <v>43595</v>
      </c>
      <c r="B22" s="1" t="s">
        <v>27</v>
      </c>
      <c r="C22" s="1" t="s">
        <v>43</v>
      </c>
      <c r="D22" s="12"/>
      <c r="E22" s="1"/>
      <c r="F22" s="63" t="s">
        <v>844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65"/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54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SUM(D3:D20,D22,D23,D24,D25)</f>
        <v>2584.06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100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5292.78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2808.72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702.18</v>
      </c>
      <c r="D34" s="12"/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1"/>
      <c r="L35" s="1"/>
      <c r="M35" s="1"/>
      <c r="N35" s="1"/>
    </row>
    <row r="36" spans="2:14">
      <c r="F36" s="66"/>
    </row>
    <row r="38" spans="2:14">
      <c r="B38" s="1"/>
      <c r="C38" s="34">
        <v>200</v>
      </c>
      <c r="D38" s="12" t="s">
        <v>61</v>
      </c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>
        <v>40</v>
      </c>
      <c r="D39" s="12" t="s">
        <v>62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 t="s">
        <v>194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>
        <f>C34-C38-C39-C40</f>
        <v>462.17999999999995</v>
      </c>
      <c r="D41" s="12" t="s">
        <v>63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N47"/>
  <sheetViews>
    <sheetView zoomScaleNormal="100" workbookViewId="0">
      <selection activeCell="G25" sqref="G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845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43616</v>
      </c>
      <c r="B3" s="7" t="s">
        <v>6</v>
      </c>
      <c r="C3" s="1" t="s">
        <v>359</v>
      </c>
      <c r="D3" s="8">
        <v>1162.19</v>
      </c>
      <c r="E3" s="9"/>
      <c r="F3" s="69" t="s">
        <v>846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43616</v>
      </c>
      <c r="B4" s="7" t="s">
        <v>10</v>
      </c>
      <c r="C4" s="1" t="s">
        <v>13</v>
      </c>
      <c r="D4" s="12">
        <v>168.78</v>
      </c>
      <c r="E4" s="9"/>
      <c r="F4" s="64" t="s">
        <v>847</v>
      </c>
      <c r="G4" s="11"/>
      <c r="H4" s="11"/>
      <c r="I4" s="59"/>
      <c r="J4" s="19"/>
      <c r="K4" s="11"/>
      <c r="L4" s="11"/>
      <c r="M4" s="11"/>
      <c r="N4" s="11"/>
    </row>
    <row r="5" spans="1:14">
      <c r="A5" s="51">
        <v>43623</v>
      </c>
      <c r="B5" s="7" t="s">
        <v>155</v>
      </c>
      <c r="C5" s="1" t="s">
        <v>16</v>
      </c>
      <c r="D5" s="12">
        <v>70</v>
      </c>
      <c r="E5" s="12"/>
      <c r="F5" s="1" t="s">
        <v>848</v>
      </c>
      <c r="H5" s="11"/>
      <c r="I5" s="11"/>
      <c r="J5" s="19"/>
      <c r="K5" s="11"/>
      <c r="L5" s="11"/>
      <c r="M5" s="11"/>
      <c r="N5" s="11"/>
    </row>
    <row r="6" spans="1:14">
      <c r="A6" s="51" t="s">
        <v>9</v>
      </c>
      <c r="B6" s="56" t="s">
        <v>746</v>
      </c>
      <c r="C6" s="1" t="s">
        <v>805</v>
      </c>
      <c r="D6" s="12">
        <v>0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 t="s">
        <v>9</v>
      </c>
      <c r="B7" s="56" t="s">
        <v>581</v>
      </c>
      <c r="C7" s="1" t="s">
        <v>747</v>
      </c>
      <c r="D7" s="12">
        <v>13.99</v>
      </c>
      <c r="E7" s="9"/>
      <c r="F7" s="63"/>
      <c r="G7" s="16"/>
      <c r="H7" s="7"/>
      <c r="I7" s="7"/>
      <c r="J7" s="17"/>
      <c r="K7" s="7"/>
      <c r="L7" s="7"/>
      <c r="M7" s="7"/>
      <c r="N7" s="7"/>
    </row>
    <row r="8" spans="1:14">
      <c r="A8" s="51">
        <v>43623</v>
      </c>
      <c r="B8" s="56" t="s">
        <v>303</v>
      </c>
      <c r="C8" s="1" t="s">
        <v>767</v>
      </c>
      <c r="D8" s="12">
        <v>119</v>
      </c>
      <c r="E8" s="9"/>
      <c r="F8" s="63">
        <v>69412564</v>
      </c>
      <c r="G8" s="16"/>
      <c r="H8" s="7"/>
      <c r="I8" s="7"/>
      <c r="J8" s="17"/>
      <c r="K8" s="7"/>
      <c r="L8" s="7"/>
      <c r="M8" s="7"/>
      <c r="N8" s="7"/>
    </row>
    <row r="9" spans="1:14">
      <c r="A9" s="51">
        <v>43623</v>
      </c>
      <c r="B9" s="7" t="s">
        <v>21</v>
      </c>
      <c r="C9" s="1" t="s">
        <v>23</v>
      </c>
      <c r="D9" s="12">
        <v>293.8</v>
      </c>
      <c r="E9" s="9"/>
      <c r="F9" s="65" t="s">
        <v>849</v>
      </c>
      <c r="G9" s="1"/>
      <c r="H9" s="1"/>
      <c r="I9" s="1"/>
      <c r="J9" s="18"/>
      <c r="K9" s="1"/>
      <c r="L9" s="1"/>
      <c r="M9" s="1"/>
      <c r="N9" s="1"/>
    </row>
    <row r="10" spans="1:14">
      <c r="A10" s="51">
        <v>43623</v>
      </c>
      <c r="B10" s="7" t="s">
        <v>21</v>
      </c>
      <c r="C10" s="1" t="s">
        <v>25</v>
      </c>
      <c r="D10" s="12">
        <v>30.25</v>
      </c>
      <c r="E10" s="16"/>
      <c r="F10" s="63" t="s">
        <v>850</v>
      </c>
      <c r="G10" s="11"/>
      <c r="H10" s="11"/>
      <c r="I10" s="11"/>
      <c r="J10" s="19"/>
      <c r="K10" s="11"/>
      <c r="L10" s="11"/>
      <c r="M10" s="11"/>
      <c r="N10" s="11"/>
    </row>
    <row r="11" spans="1:14">
      <c r="A11" s="51">
        <v>43623</v>
      </c>
      <c r="B11" s="7" t="s">
        <v>21</v>
      </c>
      <c r="C11" s="1" t="s">
        <v>548</v>
      </c>
      <c r="D11" s="12">
        <v>297</v>
      </c>
      <c r="E11" s="16"/>
      <c r="F11" s="63"/>
      <c r="G11" s="11"/>
      <c r="H11" s="11"/>
      <c r="I11" s="11"/>
      <c r="J11" s="19"/>
      <c r="K11" s="11"/>
      <c r="L11" s="11"/>
      <c r="M11" s="11"/>
      <c r="N11" s="11"/>
    </row>
    <row r="12" spans="1:14">
      <c r="A12" s="51">
        <v>43623</v>
      </c>
      <c r="B12" s="7" t="s">
        <v>27</v>
      </c>
      <c r="C12" s="1" t="s">
        <v>28</v>
      </c>
      <c r="D12" s="12">
        <v>77.95</v>
      </c>
      <c r="E12" s="9"/>
      <c r="F12" s="1" t="s">
        <v>851</v>
      </c>
      <c r="H12" s="11"/>
      <c r="I12" s="11"/>
      <c r="J12" s="19"/>
      <c r="K12" s="11"/>
      <c r="L12" s="11"/>
      <c r="M12" s="11"/>
      <c r="N12" s="11"/>
    </row>
    <row r="13" spans="1:14">
      <c r="A13" s="51" t="s">
        <v>9</v>
      </c>
      <c r="B13" s="7" t="s">
        <v>27</v>
      </c>
      <c r="C13" s="1" t="s">
        <v>333</v>
      </c>
      <c r="D13" s="12">
        <v>110</v>
      </c>
      <c r="E13" s="9"/>
      <c r="F13" s="65"/>
      <c r="G13" s="20"/>
      <c r="H13" s="11"/>
      <c r="I13" s="11"/>
      <c r="J13" s="19"/>
      <c r="K13" s="11"/>
      <c r="L13" s="11"/>
      <c r="M13" s="11"/>
      <c r="N13" s="11"/>
    </row>
    <row r="14" spans="1:14">
      <c r="A14" s="51">
        <v>43623</v>
      </c>
      <c r="B14" s="7" t="s">
        <v>31</v>
      </c>
      <c r="C14" s="1" t="s">
        <v>186</v>
      </c>
      <c r="D14" s="12">
        <v>53.1</v>
      </c>
      <c r="E14" s="12"/>
      <c r="F14" s="65" t="s">
        <v>852</v>
      </c>
      <c r="G14" s="35"/>
      <c r="H14" s="1"/>
      <c r="I14" s="1"/>
      <c r="J14" s="18"/>
      <c r="K14" s="1"/>
      <c r="L14" s="1"/>
      <c r="M14" s="1"/>
      <c r="N14" s="1"/>
    </row>
    <row r="15" spans="1:14">
      <c r="A15" s="51">
        <v>43637</v>
      </c>
      <c r="B15" s="7" t="s">
        <v>367</v>
      </c>
      <c r="C15" s="1" t="s">
        <v>35</v>
      </c>
      <c r="D15" s="12">
        <v>161</v>
      </c>
      <c r="E15" s="9"/>
      <c r="F15" s="65" t="s">
        <v>853</v>
      </c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>
        <v>43623</v>
      </c>
      <c r="B19" s="1" t="s">
        <v>45</v>
      </c>
      <c r="C19" s="1" t="s">
        <v>258</v>
      </c>
      <c r="D19" s="12">
        <v>27</v>
      </c>
      <c r="E19" s="1"/>
      <c r="F19" s="65" t="s">
        <v>854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43623</v>
      </c>
      <c r="B20" s="1" t="s">
        <v>45</v>
      </c>
      <c r="C20" s="1" t="s">
        <v>46</v>
      </c>
      <c r="D20" s="12"/>
      <c r="E20" s="1"/>
      <c r="F20" s="63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43623</v>
      </c>
      <c r="B21" s="1" t="s">
        <v>48</v>
      </c>
      <c r="C21" s="1" t="s">
        <v>49</v>
      </c>
      <c r="D21" s="12">
        <f>D7+D13+14</f>
        <v>137.99</v>
      </c>
      <c r="E21" s="1"/>
      <c r="F21" s="63"/>
      <c r="H21" s="1"/>
      <c r="I21" s="1"/>
      <c r="J21" s="18"/>
      <c r="K21" s="1"/>
      <c r="L21" s="1"/>
      <c r="M21" s="1"/>
      <c r="N21" s="1"/>
    </row>
    <row r="22" spans="1:14">
      <c r="A22" s="51">
        <v>43623</v>
      </c>
      <c r="B22" s="1" t="s">
        <v>27</v>
      </c>
      <c r="C22" s="1" t="s">
        <v>43</v>
      </c>
      <c r="D22" s="12"/>
      <c r="E22" s="1"/>
      <c r="F22" s="63" t="s">
        <v>855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65"/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54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SUM(D3:D20,D22,D23,D24,D25)</f>
        <v>2584.06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100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5292.78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2808.72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702.18</v>
      </c>
      <c r="D34" s="12"/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1"/>
      <c r="L35" s="1"/>
      <c r="M35" s="1"/>
      <c r="N35" s="1"/>
    </row>
    <row r="36" spans="2:14">
      <c r="F36" s="66"/>
    </row>
    <row r="38" spans="2:14">
      <c r="B38" s="1"/>
      <c r="C38" s="34">
        <v>200</v>
      </c>
      <c r="D38" s="12" t="s">
        <v>61</v>
      </c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>
        <v>40</v>
      </c>
      <c r="D39" s="12" t="s">
        <v>62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 t="s">
        <v>194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>
        <f>C34-C38-C39-C40</f>
        <v>462.17999999999995</v>
      </c>
      <c r="D41" s="12" t="s">
        <v>63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N47"/>
  <sheetViews>
    <sheetView zoomScaleNormal="100" workbookViewId="0">
      <selection activeCell="G25" sqref="G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856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43644</v>
      </c>
      <c r="B3" s="7" t="s">
        <v>6</v>
      </c>
      <c r="C3" s="1" t="s">
        <v>359</v>
      </c>
      <c r="D3" s="8">
        <v>1162.19</v>
      </c>
      <c r="E3" s="9"/>
      <c r="F3" s="69" t="s">
        <v>857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43644</v>
      </c>
      <c r="B4" s="7" t="s">
        <v>10</v>
      </c>
      <c r="C4" s="1" t="s">
        <v>13</v>
      </c>
      <c r="D4" s="12">
        <v>168.78</v>
      </c>
      <c r="E4" s="9"/>
      <c r="F4" s="64" t="s">
        <v>858</v>
      </c>
      <c r="G4" s="11"/>
      <c r="H4" s="11"/>
      <c r="I4" s="59"/>
      <c r="J4" s="19"/>
      <c r="K4" s="11"/>
      <c r="L4" s="11"/>
      <c r="M4" s="11"/>
      <c r="N4" s="11"/>
    </row>
    <row r="5" spans="1:14">
      <c r="A5" s="51">
        <v>43658</v>
      </c>
      <c r="B5" s="7" t="s">
        <v>155</v>
      </c>
      <c r="C5" s="1" t="s">
        <v>16</v>
      </c>
      <c r="D5" s="12">
        <v>70</v>
      </c>
      <c r="E5" s="12"/>
      <c r="F5" s="1" t="s">
        <v>859</v>
      </c>
      <c r="H5" s="11"/>
      <c r="I5" s="11"/>
      <c r="J5" s="19"/>
      <c r="K5" s="11"/>
      <c r="L5" s="11"/>
      <c r="M5" s="11"/>
      <c r="N5" s="11"/>
    </row>
    <row r="6" spans="1:14">
      <c r="A6" s="51" t="s">
        <v>9</v>
      </c>
      <c r="B6" s="56" t="s">
        <v>746</v>
      </c>
      <c r="C6" s="1" t="s">
        <v>805</v>
      </c>
      <c r="D6" s="12">
        <v>0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 t="s">
        <v>9</v>
      </c>
      <c r="B7" s="56" t="s">
        <v>581</v>
      </c>
      <c r="C7" s="1" t="s">
        <v>747</v>
      </c>
      <c r="D7" s="12">
        <v>13.99</v>
      </c>
      <c r="E7" s="9"/>
      <c r="F7" s="63"/>
      <c r="G7" s="16"/>
      <c r="H7" s="7"/>
      <c r="I7" s="7"/>
      <c r="J7" s="17"/>
      <c r="K7" s="7"/>
      <c r="L7" s="7"/>
      <c r="M7" s="7"/>
      <c r="N7" s="7"/>
    </row>
    <row r="8" spans="1:14">
      <c r="A8" s="51">
        <v>43658</v>
      </c>
      <c r="B8" s="56" t="s">
        <v>303</v>
      </c>
      <c r="C8" s="1" t="s">
        <v>767</v>
      </c>
      <c r="D8" s="12">
        <v>119</v>
      </c>
      <c r="E8" s="9"/>
      <c r="F8" s="63">
        <v>4979035139</v>
      </c>
      <c r="G8" s="16"/>
      <c r="H8" s="7"/>
      <c r="I8" s="7"/>
      <c r="J8" s="17"/>
      <c r="K8" s="7"/>
      <c r="L8" s="7"/>
      <c r="M8" s="7"/>
      <c r="N8" s="7"/>
    </row>
    <row r="9" spans="1:14">
      <c r="A9" s="51">
        <v>43658</v>
      </c>
      <c r="B9" s="7" t="s">
        <v>21</v>
      </c>
      <c r="C9" s="1" t="s">
        <v>23</v>
      </c>
      <c r="D9" s="12">
        <v>293.8</v>
      </c>
      <c r="E9" s="9"/>
      <c r="F9" s="65" t="s">
        <v>860</v>
      </c>
      <c r="G9" s="1"/>
      <c r="H9" s="1"/>
      <c r="I9" s="1"/>
      <c r="J9" s="18"/>
      <c r="K9" s="1"/>
      <c r="L9" s="1"/>
      <c r="M9" s="1"/>
      <c r="N9" s="1"/>
    </row>
    <row r="10" spans="1:14">
      <c r="A10" s="51" t="s">
        <v>9</v>
      </c>
      <c r="B10" s="7" t="s">
        <v>21</v>
      </c>
      <c r="C10" s="1" t="s">
        <v>25</v>
      </c>
      <c r="D10" s="12">
        <v>30.25</v>
      </c>
      <c r="E10" s="16"/>
      <c r="F10" s="63"/>
      <c r="G10" s="11"/>
      <c r="H10" s="11"/>
      <c r="I10" s="11"/>
      <c r="J10" s="19"/>
      <c r="K10" s="11"/>
      <c r="L10" s="11"/>
      <c r="M10" s="11"/>
      <c r="N10" s="11"/>
    </row>
    <row r="11" spans="1:14">
      <c r="A11" s="51">
        <v>43658</v>
      </c>
      <c r="B11" s="7" t="s">
        <v>27</v>
      </c>
      <c r="C11" s="1" t="s">
        <v>28</v>
      </c>
      <c r="D11" s="12">
        <v>77.95</v>
      </c>
      <c r="E11" s="16"/>
      <c r="F11" s="11" t="s">
        <v>861</v>
      </c>
      <c r="H11" s="11"/>
      <c r="I11" s="11"/>
      <c r="J11" s="19"/>
      <c r="K11" s="11"/>
      <c r="L11" s="11"/>
      <c r="M11" s="11"/>
      <c r="N11" s="11"/>
    </row>
    <row r="12" spans="1:14">
      <c r="A12" s="51" t="s">
        <v>9</v>
      </c>
      <c r="B12" s="7" t="s">
        <v>27</v>
      </c>
      <c r="C12" s="1" t="s">
        <v>333</v>
      </c>
      <c r="D12" s="12">
        <v>110</v>
      </c>
      <c r="E12" s="9"/>
      <c r="F12" s="1"/>
      <c r="H12" s="11"/>
      <c r="I12" s="11"/>
      <c r="J12" s="19"/>
      <c r="K12" s="11"/>
      <c r="L12" s="11"/>
      <c r="M12" s="11"/>
      <c r="N12" s="11"/>
    </row>
    <row r="13" spans="1:14">
      <c r="A13" s="51">
        <v>43658</v>
      </c>
      <c r="B13" s="7" t="s">
        <v>31</v>
      </c>
      <c r="C13" s="1" t="s">
        <v>186</v>
      </c>
      <c r="D13" s="12">
        <v>53.1</v>
      </c>
      <c r="E13" s="9"/>
      <c r="F13" s="65" t="s">
        <v>862</v>
      </c>
      <c r="G13" s="20"/>
      <c r="H13" s="11"/>
      <c r="I13" s="11"/>
      <c r="J13" s="19"/>
      <c r="K13" s="11"/>
      <c r="L13" s="11"/>
      <c r="M13" s="11"/>
      <c r="N13" s="11"/>
    </row>
    <row r="14" spans="1:14">
      <c r="A14" s="51">
        <v>43667</v>
      </c>
      <c r="B14" s="7" t="s">
        <v>863</v>
      </c>
      <c r="C14" s="1" t="s">
        <v>864</v>
      </c>
      <c r="D14" s="12">
        <v>510</v>
      </c>
      <c r="E14" s="12"/>
      <c r="F14" s="65" t="s">
        <v>865</v>
      </c>
      <c r="G14" s="35"/>
      <c r="H14" s="1"/>
      <c r="I14" s="1"/>
      <c r="J14" s="18"/>
      <c r="K14" s="1"/>
      <c r="L14" s="1"/>
      <c r="M14" s="1"/>
      <c r="N14" s="1"/>
    </row>
    <row r="15" spans="1:14">
      <c r="A15" s="51">
        <v>43667</v>
      </c>
      <c r="B15" s="7" t="s">
        <v>367</v>
      </c>
      <c r="C15" s="1" t="s">
        <v>35</v>
      </c>
      <c r="D15" s="12">
        <v>161</v>
      </c>
      <c r="E15" s="9"/>
      <c r="F15" s="65" t="s">
        <v>866</v>
      </c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>
        <v>43652</v>
      </c>
      <c r="B19" s="1" t="s">
        <v>45</v>
      </c>
      <c r="C19" s="1" t="s">
        <v>258</v>
      </c>
      <c r="D19" s="12">
        <v>27</v>
      </c>
      <c r="E19" s="1"/>
      <c r="F19" s="65" t="s">
        <v>867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43652</v>
      </c>
      <c r="B20" s="1" t="s">
        <v>45</v>
      </c>
      <c r="C20" s="1" t="s">
        <v>46</v>
      </c>
      <c r="D20" s="12"/>
      <c r="E20" s="1"/>
      <c r="F20" s="63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43658</v>
      </c>
      <c r="B21" s="1" t="s">
        <v>48</v>
      </c>
      <c r="C21" s="1" t="s">
        <v>49</v>
      </c>
      <c r="D21" s="12">
        <f>D7+D12+14</f>
        <v>137.99</v>
      </c>
      <c r="E21" s="1"/>
      <c r="F21" s="63"/>
      <c r="H21" s="1"/>
      <c r="I21" s="1"/>
      <c r="J21" s="18"/>
      <c r="K21" s="1"/>
      <c r="L21" s="1"/>
      <c r="M21" s="1"/>
      <c r="N21" s="1"/>
    </row>
    <row r="22" spans="1:14">
      <c r="A22" s="51">
        <v>43658</v>
      </c>
      <c r="B22" s="1" t="s">
        <v>27</v>
      </c>
      <c r="C22" s="1" t="s">
        <v>43</v>
      </c>
      <c r="D22" s="12"/>
      <c r="E22" s="1"/>
      <c r="F22" s="63" t="s">
        <v>868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65"/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54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SUM(D3:D20,D22,D23,D24,D25)</f>
        <v>2797.06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100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5292.78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2595.7199999999998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648.92999999999995</v>
      </c>
      <c r="D34" s="12"/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1"/>
      <c r="L35" s="1"/>
      <c r="M35" s="1"/>
      <c r="N35" s="1"/>
    </row>
    <row r="36" spans="2:14">
      <c r="F36" s="66"/>
    </row>
    <row r="38" spans="2:14">
      <c r="B38" s="1"/>
      <c r="C38" s="34">
        <v>200</v>
      </c>
      <c r="D38" s="12" t="s">
        <v>61</v>
      </c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>
        <v>40</v>
      </c>
      <c r="D39" s="12" t="s">
        <v>62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 t="s">
        <v>194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>
        <f>C34-C38-C39-C40</f>
        <v>408.92999999999995</v>
      </c>
      <c r="D41" s="12" t="s">
        <v>63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N47"/>
  <sheetViews>
    <sheetView zoomScaleNormal="100" workbookViewId="0">
      <selection activeCell="G25" sqref="G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869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43679</v>
      </c>
      <c r="B3" s="7" t="s">
        <v>6</v>
      </c>
      <c r="C3" s="1" t="s">
        <v>359</v>
      </c>
      <c r="D3" s="8">
        <v>1162.19</v>
      </c>
      <c r="E3" s="9"/>
      <c r="F3" s="69" t="s">
        <v>870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43679</v>
      </c>
      <c r="B4" s="7" t="s">
        <v>10</v>
      </c>
      <c r="C4" s="1" t="s">
        <v>13</v>
      </c>
      <c r="D4" s="12">
        <v>138.1</v>
      </c>
      <c r="E4" s="9"/>
      <c r="F4" s="64" t="s">
        <v>871</v>
      </c>
      <c r="G4" s="11"/>
      <c r="H4" s="11"/>
      <c r="I4" s="59"/>
      <c r="J4" s="19"/>
      <c r="K4" s="11"/>
      <c r="L4" s="11"/>
      <c r="M4" s="11"/>
      <c r="N4" s="11"/>
    </row>
    <row r="5" spans="1:14">
      <c r="A5" s="51">
        <v>43693</v>
      </c>
      <c r="B5" s="7" t="s">
        <v>155</v>
      </c>
      <c r="C5" s="1" t="s">
        <v>16</v>
      </c>
      <c r="D5" s="12">
        <v>70</v>
      </c>
      <c r="E5" s="12"/>
      <c r="F5" s="1"/>
      <c r="G5" t="s">
        <v>872</v>
      </c>
      <c r="H5" s="11"/>
      <c r="I5" s="11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747</v>
      </c>
      <c r="D6" s="12">
        <v>13.99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>
        <v>43685</v>
      </c>
      <c r="B7" s="56" t="s">
        <v>303</v>
      </c>
      <c r="C7" s="1" t="s">
        <v>767</v>
      </c>
      <c r="D7" s="12">
        <v>119</v>
      </c>
      <c r="E7" s="9"/>
      <c r="F7" s="63">
        <v>5186538426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43693</v>
      </c>
      <c r="B8" s="7" t="s">
        <v>21</v>
      </c>
      <c r="C8" s="1" t="s">
        <v>23</v>
      </c>
      <c r="D8" s="12">
        <v>293.8</v>
      </c>
      <c r="E8" s="9"/>
      <c r="F8" s="65" t="s">
        <v>873</v>
      </c>
      <c r="G8" s="1"/>
      <c r="H8" s="1"/>
      <c r="I8" s="1"/>
      <c r="J8" s="18"/>
      <c r="K8" s="1"/>
      <c r="L8" s="1"/>
      <c r="M8" s="1"/>
      <c r="N8" s="1"/>
    </row>
    <row r="9" spans="1:14">
      <c r="A9" s="51">
        <v>43692</v>
      </c>
      <c r="B9" s="7" t="s">
        <v>21</v>
      </c>
      <c r="C9" s="1" t="s">
        <v>25</v>
      </c>
      <c r="D9" s="12">
        <v>30.25</v>
      </c>
      <c r="E9" s="16"/>
      <c r="F9" s="63" t="s">
        <v>874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43693</v>
      </c>
      <c r="B10" s="7" t="s">
        <v>27</v>
      </c>
      <c r="C10" s="1" t="s">
        <v>28</v>
      </c>
      <c r="D10" s="12">
        <v>77.95</v>
      </c>
      <c r="E10" s="16"/>
      <c r="F10" s="60" t="s">
        <v>875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70</v>
      </c>
      <c r="E11" s="9"/>
      <c r="F11" s="1"/>
      <c r="H11" s="11"/>
      <c r="I11" s="11"/>
      <c r="J11" s="19"/>
      <c r="K11" s="11"/>
      <c r="L11" s="11"/>
      <c r="M11" s="11"/>
      <c r="N11" s="11"/>
    </row>
    <row r="12" spans="1:14">
      <c r="A12" s="51">
        <v>43693</v>
      </c>
      <c r="B12" s="7" t="s">
        <v>31</v>
      </c>
      <c r="C12" s="1" t="s">
        <v>186</v>
      </c>
      <c r="D12" s="12">
        <v>53.1</v>
      </c>
      <c r="E12" s="9"/>
      <c r="F12" s="65" t="s">
        <v>876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43700</v>
      </c>
      <c r="B13" s="7" t="s">
        <v>863</v>
      </c>
      <c r="C13" s="1" t="s">
        <v>864</v>
      </c>
      <c r="D13" s="12">
        <v>510</v>
      </c>
      <c r="E13" s="12"/>
      <c r="F13" s="65" t="s">
        <v>877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43707</v>
      </c>
      <c r="B14" s="7" t="s">
        <v>367</v>
      </c>
      <c r="C14" s="1" t="s">
        <v>35</v>
      </c>
      <c r="D14" s="12">
        <v>161</v>
      </c>
      <c r="E14" s="9"/>
      <c r="F14" s="65" t="s">
        <v>878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>
        <v>43705</v>
      </c>
      <c r="B15" s="56" t="s">
        <v>879</v>
      </c>
      <c r="C15" s="1" t="s">
        <v>880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>
        <v>43685</v>
      </c>
      <c r="B19" s="1" t="s">
        <v>45</v>
      </c>
      <c r="C19" s="1" t="s">
        <v>258</v>
      </c>
      <c r="D19" s="12">
        <v>27</v>
      </c>
      <c r="E19" s="1"/>
      <c r="F19" s="65" t="s">
        <v>881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43685</v>
      </c>
      <c r="B20" s="1" t="s">
        <v>45</v>
      </c>
      <c r="C20" s="1" t="s">
        <v>46</v>
      </c>
      <c r="D20" s="12"/>
      <c r="E20" s="1"/>
      <c r="F20" s="63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43693</v>
      </c>
      <c r="B21" s="1" t="s">
        <v>48</v>
      </c>
      <c r="C21" s="1" t="s">
        <v>49</v>
      </c>
      <c r="D21" s="12">
        <f>D6+D11+14</f>
        <v>97.99</v>
      </c>
      <c r="E21" s="1"/>
      <c r="F21" s="63"/>
      <c r="H21" s="1"/>
      <c r="I21" s="1"/>
      <c r="J21" s="18"/>
      <c r="K21" s="1"/>
      <c r="L21" s="1"/>
      <c r="M21" s="1"/>
      <c r="N21" s="1"/>
    </row>
    <row r="22" spans="1:14">
      <c r="A22" s="51">
        <v>43693</v>
      </c>
      <c r="B22" s="1" t="s">
        <v>27</v>
      </c>
      <c r="C22" s="1" t="s">
        <v>43</v>
      </c>
      <c r="D22" s="12"/>
      <c r="E22" s="1"/>
      <c r="F22" s="63" t="s">
        <v>882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43693</v>
      </c>
      <c r="B24" s="1" t="s">
        <v>38</v>
      </c>
      <c r="C24" s="1" t="s">
        <v>39</v>
      </c>
      <c r="D24" s="23">
        <v>0</v>
      </c>
      <c r="E24" s="1"/>
      <c r="F24" s="65" t="s">
        <v>883</v>
      </c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54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SUM(D3:D20,D22,D23,D24,D25)</f>
        <v>2726.38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100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5292.78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2666.3999999999996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666.59999999999991</v>
      </c>
      <c r="D34" s="12"/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1"/>
      <c r="L35" s="1"/>
      <c r="M35" s="1"/>
      <c r="N35" s="1"/>
    </row>
    <row r="36" spans="2:14">
      <c r="F36" s="66"/>
    </row>
    <row r="38" spans="2:14">
      <c r="B38" s="1"/>
      <c r="C38" s="34">
        <v>200</v>
      </c>
      <c r="D38" s="12" t="s">
        <v>61</v>
      </c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>
        <v>40</v>
      </c>
      <c r="D39" s="12" t="s">
        <v>62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 t="s">
        <v>194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>
        <f>C34-C38-C39-C40</f>
        <v>426.59999999999991</v>
      </c>
      <c r="D41" s="12" t="s">
        <v>63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N47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884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 t="s">
        <v>9</v>
      </c>
      <c r="B3" s="7" t="s">
        <v>6</v>
      </c>
      <c r="C3" s="1" t="s">
        <v>359</v>
      </c>
      <c r="D3" s="8">
        <v>1060.94</v>
      </c>
      <c r="E3" s="9"/>
      <c r="F3" s="69"/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43708</v>
      </c>
      <c r="B4" s="7" t="s">
        <v>10</v>
      </c>
      <c r="C4" s="1" t="s">
        <v>13</v>
      </c>
      <c r="D4" s="12">
        <v>138.1</v>
      </c>
      <c r="E4" s="9"/>
      <c r="F4" s="64" t="s">
        <v>885</v>
      </c>
      <c r="G4" s="11"/>
      <c r="H4" s="11"/>
      <c r="I4" s="59"/>
      <c r="J4" s="19"/>
      <c r="K4" s="11"/>
      <c r="L4" s="11"/>
      <c r="M4" s="11"/>
      <c r="N4" s="11"/>
    </row>
    <row r="5" spans="1:14">
      <c r="A5" s="51">
        <v>43721</v>
      </c>
      <c r="B5" s="7" t="s">
        <v>155</v>
      </c>
      <c r="C5" s="1" t="s">
        <v>16</v>
      </c>
      <c r="D5" s="12">
        <v>70</v>
      </c>
      <c r="E5" s="12"/>
      <c r="F5" s="1" t="s">
        <v>886</v>
      </c>
      <c r="H5" s="11"/>
      <c r="I5" s="11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747</v>
      </c>
      <c r="D6" s="12">
        <v>13.99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>
        <v>43721</v>
      </c>
      <c r="B7" s="56" t="s">
        <v>303</v>
      </c>
      <c r="C7" s="1" t="s">
        <v>767</v>
      </c>
      <c r="D7" s="12">
        <v>119</v>
      </c>
      <c r="E7" s="9"/>
      <c r="F7" s="63">
        <v>1096413762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43721</v>
      </c>
      <c r="B8" s="7" t="s">
        <v>21</v>
      </c>
      <c r="C8" s="1" t="s">
        <v>23</v>
      </c>
      <c r="D8" s="12">
        <v>293.8</v>
      </c>
      <c r="E8" s="9"/>
      <c r="F8" s="65" t="s">
        <v>887</v>
      </c>
      <c r="G8" s="1"/>
      <c r="H8" s="1"/>
      <c r="I8" s="1"/>
      <c r="J8" s="18"/>
      <c r="K8" s="1"/>
      <c r="L8" s="1"/>
      <c r="M8" s="1"/>
      <c r="N8" s="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6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43721</v>
      </c>
      <c r="B10" s="7" t="s">
        <v>27</v>
      </c>
      <c r="C10" s="1" t="s">
        <v>28</v>
      </c>
      <c r="D10" s="12">
        <v>77.95</v>
      </c>
      <c r="E10" s="16"/>
      <c r="F10" s="60" t="s">
        <v>888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70</v>
      </c>
      <c r="E11" s="9"/>
      <c r="F11" s="1"/>
      <c r="H11" s="11"/>
      <c r="I11" s="11"/>
      <c r="J11" s="19"/>
      <c r="K11" s="11"/>
      <c r="L11" s="11"/>
      <c r="M11" s="11"/>
      <c r="N11" s="11"/>
    </row>
    <row r="12" spans="1:14">
      <c r="A12" s="51">
        <v>43721</v>
      </c>
      <c r="B12" s="7" t="s">
        <v>31</v>
      </c>
      <c r="C12" s="1" t="s">
        <v>186</v>
      </c>
      <c r="D12" s="12">
        <v>53.1</v>
      </c>
      <c r="E12" s="9"/>
      <c r="F12" s="65" t="s">
        <v>889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43735</v>
      </c>
      <c r="B13" s="7" t="s">
        <v>863</v>
      </c>
      <c r="C13" s="1" t="s">
        <v>864</v>
      </c>
      <c r="D13" s="12">
        <v>510</v>
      </c>
      <c r="E13" s="12"/>
      <c r="F13" s="65" t="s">
        <v>890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43735</v>
      </c>
      <c r="B14" s="7" t="s">
        <v>367</v>
      </c>
      <c r="C14" s="1" t="s">
        <v>35</v>
      </c>
      <c r="D14" s="12">
        <v>161</v>
      </c>
      <c r="E14" s="9"/>
      <c r="F14" s="65" t="s">
        <v>891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56" t="s">
        <v>879</v>
      </c>
      <c r="C15" s="1" t="s">
        <v>880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>
        <v>43714</v>
      </c>
      <c r="B19" s="1" t="s">
        <v>45</v>
      </c>
      <c r="C19" s="1" t="s">
        <v>258</v>
      </c>
      <c r="D19" s="12">
        <v>0</v>
      </c>
      <c r="E19" s="1"/>
      <c r="F19" s="65" t="s">
        <v>892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43717</v>
      </c>
      <c r="B20" s="1" t="s">
        <v>45</v>
      </c>
      <c r="C20" s="1" t="s">
        <v>46</v>
      </c>
      <c r="D20" s="12"/>
      <c r="E20" s="1"/>
      <c r="F20" s="63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43721</v>
      </c>
      <c r="B21" s="1" t="s">
        <v>48</v>
      </c>
      <c r="C21" s="1" t="s">
        <v>49</v>
      </c>
      <c r="D21" s="12">
        <f>D6+D11+14</f>
        <v>97.99</v>
      </c>
      <c r="E21" s="1"/>
      <c r="F21" s="63"/>
      <c r="H21" s="1"/>
      <c r="I21" s="1"/>
      <c r="J21" s="18"/>
      <c r="K21" s="1"/>
      <c r="L21" s="1"/>
      <c r="M21" s="1"/>
      <c r="N21" s="1"/>
    </row>
    <row r="22" spans="1:14">
      <c r="A22" s="51">
        <v>43721</v>
      </c>
      <c r="B22" s="1" t="s">
        <v>27</v>
      </c>
      <c r="C22" s="1" t="s">
        <v>43</v>
      </c>
      <c r="D22" s="12"/>
      <c r="E22" s="1"/>
      <c r="F22" s="63" t="s">
        <v>893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65"/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54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SUM(D3:D20,D22,D23,D24,D25)</f>
        <v>2598.13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100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5292.78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2794.6499999999996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698.66249999999991</v>
      </c>
      <c r="D34" s="12"/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1"/>
      <c r="L35" s="1"/>
      <c r="M35" s="1"/>
      <c r="N35" s="1"/>
    </row>
    <row r="36" spans="2:14">
      <c r="F36" s="66"/>
    </row>
    <row r="38" spans="2:14">
      <c r="B38" s="1"/>
      <c r="C38" s="34">
        <v>200</v>
      </c>
      <c r="D38" s="12" t="s">
        <v>61</v>
      </c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>
        <v>40</v>
      </c>
      <c r="D39" s="12" t="s">
        <v>62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 t="s">
        <v>194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>
        <f>C34-C38-C39-C40</f>
        <v>458.66249999999991</v>
      </c>
      <c r="D41" s="12" t="s">
        <v>63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N48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894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43738</v>
      </c>
      <c r="B3" s="7" t="s">
        <v>6</v>
      </c>
      <c r="C3" s="1" t="s">
        <v>359</v>
      </c>
      <c r="D3" s="8">
        <v>1060.94</v>
      </c>
      <c r="E3" s="9"/>
      <c r="F3" s="69" t="s">
        <v>895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43738</v>
      </c>
      <c r="B4" s="7" t="s">
        <v>10</v>
      </c>
      <c r="C4" s="1" t="s">
        <v>13</v>
      </c>
      <c r="D4" s="12">
        <v>138.1</v>
      </c>
      <c r="E4" s="9"/>
      <c r="F4" s="64" t="s">
        <v>896</v>
      </c>
      <c r="G4" s="11"/>
      <c r="H4" s="11"/>
      <c r="I4" s="59"/>
      <c r="J4" s="19"/>
      <c r="K4" s="11"/>
      <c r="L4" s="11"/>
      <c r="M4" s="11"/>
      <c r="N4" s="11"/>
    </row>
    <row r="5" spans="1:14">
      <c r="A5" s="51">
        <v>43751</v>
      </c>
      <c r="B5" s="7" t="s">
        <v>155</v>
      </c>
      <c r="C5" s="1" t="s">
        <v>16</v>
      </c>
      <c r="D5" s="12">
        <v>70</v>
      </c>
      <c r="E5" s="12"/>
      <c r="F5" s="1" t="s">
        <v>897</v>
      </c>
      <c r="H5" s="11"/>
      <c r="I5" s="11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747</v>
      </c>
      <c r="D6" s="12">
        <v>13.99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>
        <v>43751</v>
      </c>
      <c r="B7" s="56" t="s">
        <v>303</v>
      </c>
      <c r="C7" s="1" t="s">
        <v>767</v>
      </c>
      <c r="D7" s="12">
        <v>119</v>
      </c>
      <c r="E7" s="9"/>
      <c r="F7" s="63">
        <v>4905093044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43751</v>
      </c>
      <c r="B8" s="7" t="s">
        <v>21</v>
      </c>
      <c r="C8" s="1" t="s">
        <v>23</v>
      </c>
      <c r="D8" s="12">
        <v>293.8</v>
      </c>
      <c r="E8" s="9"/>
      <c r="F8" s="65" t="s">
        <v>898</v>
      </c>
      <c r="G8" s="1"/>
      <c r="H8" s="1"/>
      <c r="I8" s="1"/>
      <c r="J8" s="18"/>
      <c r="K8" s="1"/>
      <c r="L8" s="1"/>
      <c r="M8" s="1"/>
      <c r="N8" s="1"/>
    </row>
    <row r="9" spans="1:14">
      <c r="A9" s="51">
        <v>43751</v>
      </c>
      <c r="B9" s="7" t="s">
        <v>21</v>
      </c>
      <c r="C9" s="1" t="s">
        <v>25</v>
      </c>
      <c r="D9" s="12">
        <v>30.25</v>
      </c>
      <c r="E9" s="16"/>
      <c r="F9" s="55" t="s">
        <v>899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43751</v>
      </c>
      <c r="B10" s="7" t="s">
        <v>27</v>
      </c>
      <c r="C10" s="1" t="s">
        <v>28</v>
      </c>
      <c r="D10" s="12">
        <v>77.95</v>
      </c>
      <c r="E10" s="16"/>
      <c r="F10" s="60" t="s">
        <v>900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70</v>
      </c>
      <c r="E11" s="9"/>
      <c r="F11" s="1"/>
      <c r="H11" s="11"/>
      <c r="I11" s="11"/>
      <c r="J11" s="19"/>
      <c r="K11" s="11"/>
      <c r="L11" s="11"/>
      <c r="M11" s="11"/>
      <c r="N11" s="11"/>
    </row>
    <row r="12" spans="1:14">
      <c r="A12" s="51">
        <v>43751</v>
      </c>
      <c r="B12" s="7" t="s">
        <v>31</v>
      </c>
      <c r="C12" s="1" t="s">
        <v>186</v>
      </c>
      <c r="D12" s="12">
        <v>53.1</v>
      </c>
      <c r="E12" s="9"/>
      <c r="F12" s="55" t="s">
        <v>901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43763</v>
      </c>
      <c r="B13" s="7" t="s">
        <v>863</v>
      </c>
      <c r="C13" s="1" t="s">
        <v>864</v>
      </c>
      <c r="D13" s="12">
        <v>510</v>
      </c>
      <c r="E13" s="12"/>
      <c r="F13" s="65" t="s">
        <v>902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43763</v>
      </c>
      <c r="B14" s="7" t="s">
        <v>367</v>
      </c>
      <c r="C14" s="1" t="s">
        <v>35</v>
      </c>
      <c r="D14" s="12">
        <v>161</v>
      </c>
      <c r="E14" s="9"/>
      <c r="F14" s="65" t="s">
        <v>903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56" t="s">
        <v>879</v>
      </c>
      <c r="C15" s="1" t="s">
        <v>880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43738</v>
      </c>
      <c r="B20" s="1" t="s">
        <v>45</v>
      </c>
      <c r="C20" s="1" t="s">
        <v>46</v>
      </c>
      <c r="D20" s="12"/>
      <c r="E20" s="1"/>
      <c r="F20" s="63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43751</v>
      </c>
      <c r="B21" s="1" t="s">
        <v>48</v>
      </c>
      <c r="C21" s="1" t="s">
        <v>49</v>
      </c>
      <c r="D21" s="12">
        <f>D6+D11+14</f>
        <v>97.99</v>
      </c>
      <c r="E21" s="1"/>
      <c r="F21" s="63"/>
      <c r="H21" s="1"/>
      <c r="I21" s="1"/>
      <c r="J21" s="18"/>
      <c r="K21" s="1"/>
      <c r="L21" s="1"/>
      <c r="M21" s="1"/>
      <c r="N21" s="1"/>
    </row>
    <row r="22" spans="1:14">
      <c r="A22" s="51">
        <v>43752</v>
      </c>
      <c r="B22" s="1" t="s">
        <v>27</v>
      </c>
      <c r="C22" s="1" t="s">
        <v>43</v>
      </c>
      <c r="D22" s="12"/>
      <c r="E22" s="1"/>
      <c r="F22" s="63" t="s">
        <v>904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43751</v>
      </c>
      <c r="B24" s="1" t="s">
        <v>38</v>
      </c>
      <c r="C24" s="1" t="s">
        <v>905</v>
      </c>
      <c r="D24">
        <v>25</v>
      </c>
      <c r="E24" s="1"/>
      <c r="F24" s="65" t="s">
        <v>906</v>
      </c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54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SUM(D3:D20,D22,D23,D25,D26)</f>
        <v>2598.13</v>
      </c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100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5292.78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2794.6499999999996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698.66249999999991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200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458.66249999999991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N48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907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43763</v>
      </c>
      <c r="B3" s="7" t="s">
        <v>6</v>
      </c>
      <c r="C3" s="1" t="s">
        <v>359</v>
      </c>
      <c r="D3" s="8">
        <v>1060.94</v>
      </c>
      <c r="E3" s="9"/>
      <c r="F3" s="69" t="s">
        <v>908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43763</v>
      </c>
      <c r="B4" s="7" t="s">
        <v>10</v>
      </c>
      <c r="C4" s="1" t="s">
        <v>13</v>
      </c>
      <c r="D4" s="12">
        <v>138.1</v>
      </c>
      <c r="E4" s="9"/>
      <c r="F4" s="64" t="s">
        <v>909</v>
      </c>
      <c r="G4" s="11"/>
      <c r="H4" s="11"/>
      <c r="I4" s="59"/>
      <c r="J4" s="19"/>
      <c r="K4" s="11"/>
      <c r="L4" s="11"/>
      <c r="M4" s="11"/>
      <c r="N4" s="11"/>
    </row>
    <row r="5" spans="1:14">
      <c r="A5" s="51">
        <v>43777</v>
      </c>
      <c r="B5" s="7" t="s">
        <v>155</v>
      </c>
      <c r="C5" s="1" t="s">
        <v>16</v>
      </c>
      <c r="D5" s="12">
        <v>70</v>
      </c>
      <c r="E5" s="12"/>
      <c r="F5" s="1" t="s">
        <v>910</v>
      </c>
      <c r="H5" s="11"/>
      <c r="I5" s="11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747</v>
      </c>
      <c r="D6" s="12">
        <v>13.99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>
        <v>43777</v>
      </c>
      <c r="B7" s="56" t="s">
        <v>303</v>
      </c>
      <c r="C7" s="1" t="s">
        <v>767</v>
      </c>
      <c r="D7" s="12">
        <v>119</v>
      </c>
      <c r="E7" s="9"/>
      <c r="F7" s="63">
        <v>712417175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43777</v>
      </c>
      <c r="B8" s="7" t="s">
        <v>21</v>
      </c>
      <c r="C8" s="1" t="s">
        <v>23</v>
      </c>
      <c r="D8" s="12">
        <v>293.8</v>
      </c>
      <c r="E8" s="9"/>
      <c r="F8" s="65" t="s">
        <v>911</v>
      </c>
      <c r="G8" s="1"/>
      <c r="H8" s="1"/>
      <c r="I8" s="1"/>
      <c r="J8" s="18"/>
      <c r="K8" s="1"/>
      <c r="L8" s="1"/>
      <c r="M8" s="1"/>
      <c r="N8" s="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55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43777</v>
      </c>
      <c r="B10" s="7" t="s">
        <v>27</v>
      </c>
      <c r="C10" s="1" t="s">
        <v>28</v>
      </c>
      <c r="D10" s="12">
        <v>77.95</v>
      </c>
      <c r="E10" s="16"/>
      <c r="F10" s="60" t="s">
        <v>912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70</v>
      </c>
      <c r="E11" s="9"/>
      <c r="F11" s="1"/>
      <c r="H11" s="11"/>
      <c r="I11" s="11"/>
      <c r="J11" s="19"/>
      <c r="K11" s="11"/>
      <c r="L11" s="11"/>
      <c r="M11" s="11"/>
      <c r="N11" s="11"/>
    </row>
    <row r="12" spans="1:14">
      <c r="A12" s="51">
        <v>43781</v>
      </c>
      <c r="B12" s="7" t="s">
        <v>31</v>
      </c>
      <c r="C12" s="1" t="s">
        <v>186</v>
      </c>
      <c r="D12" s="12">
        <v>53.1</v>
      </c>
      <c r="E12" s="9"/>
      <c r="F12" s="55" t="s">
        <v>913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43791</v>
      </c>
      <c r="B13" s="7" t="s">
        <v>863</v>
      </c>
      <c r="C13" s="1" t="s">
        <v>864</v>
      </c>
      <c r="D13" s="12">
        <v>510</v>
      </c>
      <c r="E13" s="12"/>
      <c r="F13" s="65" t="s">
        <v>914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43791</v>
      </c>
      <c r="B14" s="7" t="s">
        <v>367</v>
      </c>
      <c r="C14" s="1" t="s">
        <v>35</v>
      </c>
      <c r="D14" s="12">
        <v>161</v>
      </c>
      <c r="E14" s="9"/>
      <c r="F14" s="65" t="s">
        <v>915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>
        <v>43781</v>
      </c>
      <c r="B15" s="56" t="s">
        <v>879</v>
      </c>
      <c r="C15" s="1" t="s">
        <v>880</v>
      </c>
      <c r="D15" s="12">
        <v>0</v>
      </c>
      <c r="E15" s="9"/>
      <c r="F15" s="65" t="s">
        <v>916</v>
      </c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43777</v>
      </c>
      <c r="B20" s="1" t="s">
        <v>45</v>
      </c>
      <c r="C20" s="1" t="s">
        <v>46</v>
      </c>
      <c r="D20" s="12"/>
      <c r="E20" s="1"/>
      <c r="F20" s="63">
        <v>682216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43777</v>
      </c>
      <c r="B21" s="1" t="s">
        <v>48</v>
      </c>
      <c r="C21" s="1" t="s">
        <v>49</v>
      </c>
      <c r="D21" s="12">
        <f>D6+D11+14</f>
        <v>97.99</v>
      </c>
      <c r="E21" s="1"/>
      <c r="F21" s="63"/>
      <c r="H21" s="1"/>
      <c r="I21" s="1"/>
      <c r="J21" s="18"/>
      <c r="K21" s="1"/>
      <c r="L21" s="1"/>
      <c r="M21" s="1"/>
      <c r="N21" s="1"/>
    </row>
    <row r="22" spans="1:14">
      <c r="A22" s="51">
        <v>43777</v>
      </c>
      <c r="B22" s="1" t="s">
        <v>27</v>
      </c>
      <c r="C22" s="1" t="s">
        <v>43</v>
      </c>
      <c r="D22" s="12"/>
      <c r="E22" s="1"/>
      <c r="F22" s="63" t="s">
        <v>917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43777</v>
      </c>
      <c r="B24" s="1" t="s">
        <v>38</v>
      </c>
      <c r="C24" s="1" t="s">
        <v>905</v>
      </c>
      <c r="D24">
        <v>25</v>
      </c>
      <c r="E24" s="1"/>
      <c r="F24" s="65" t="s">
        <v>918</v>
      </c>
      <c r="G24" s="1"/>
      <c r="H24" s="1"/>
      <c r="I24" s="1"/>
      <c r="J24" s="18"/>
      <c r="K24" s="1"/>
      <c r="L24" s="70"/>
      <c r="M24" s="1"/>
      <c r="N24" s="1"/>
    </row>
    <row r="25" spans="1:14">
      <c r="A25" s="53">
        <v>43777</v>
      </c>
      <c r="B25" s="1" t="s">
        <v>38</v>
      </c>
      <c r="C25" s="1" t="s">
        <v>39</v>
      </c>
      <c r="D25" s="23">
        <v>0</v>
      </c>
      <c r="E25" s="1"/>
      <c r="F25" s="65" t="s">
        <v>919</v>
      </c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54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SUM(D3:D20,D22,D23,D25,D26)</f>
        <v>2598.13</v>
      </c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100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5292.78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2794.6499999999996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698.66249999999991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200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40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458.66249999999991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920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43791</v>
      </c>
      <c r="B3" s="7" t="s">
        <v>6</v>
      </c>
      <c r="C3" s="1" t="s">
        <v>359</v>
      </c>
      <c r="D3" s="8">
        <v>1160.94</v>
      </c>
      <c r="E3" s="9"/>
      <c r="F3" s="69" t="s">
        <v>921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43791</v>
      </c>
      <c r="B4" s="7" t="s">
        <v>10</v>
      </c>
      <c r="C4" s="1" t="s">
        <v>13</v>
      </c>
      <c r="D4" s="12">
        <v>138.1</v>
      </c>
      <c r="E4" s="9"/>
      <c r="F4" s="64" t="s">
        <v>922</v>
      </c>
      <c r="G4" s="11"/>
      <c r="H4" s="11"/>
      <c r="I4" s="59"/>
      <c r="J4" s="19"/>
      <c r="K4" s="11"/>
      <c r="L4" s="11"/>
      <c r="M4" s="11"/>
      <c r="N4" s="11"/>
    </row>
    <row r="5" spans="1:14">
      <c r="A5" s="71" t="s">
        <v>9</v>
      </c>
      <c r="B5" s="7" t="s">
        <v>923</v>
      </c>
      <c r="C5" s="1" t="s">
        <v>23</v>
      </c>
      <c r="D5" s="12">
        <v>530.4</v>
      </c>
      <c r="E5" s="9"/>
      <c r="F5" s="65"/>
      <c r="H5" s="11"/>
      <c r="I5" s="11"/>
      <c r="J5" s="19"/>
      <c r="K5" s="11"/>
      <c r="L5" s="11"/>
      <c r="M5" s="11"/>
      <c r="N5" s="11"/>
    </row>
    <row r="6" spans="1:14">
      <c r="A6" s="51">
        <v>43805</v>
      </c>
      <c r="B6" s="7" t="s">
        <v>155</v>
      </c>
      <c r="C6" s="1" t="s">
        <v>16</v>
      </c>
      <c r="D6" s="12">
        <v>70</v>
      </c>
      <c r="E6" s="12"/>
      <c r="F6" s="1" t="s">
        <v>924</v>
      </c>
      <c r="G6" s="16"/>
      <c r="H6" s="7"/>
      <c r="I6" s="7"/>
      <c r="J6" s="17"/>
      <c r="K6" s="7"/>
      <c r="L6" s="7"/>
      <c r="M6" s="7"/>
      <c r="N6" s="7"/>
    </row>
    <row r="7" spans="1:14">
      <c r="A7" s="51" t="s">
        <v>9</v>
      </c>
      <c r="B7" s="56" t="s">
        <v>581</v>
      </c>
      <c r="C7" s="1" t="s">
        <v>747</v>
      </c>
      <c r="D7" s="12">
        <v>13.99</v>
      </c>
      <c r="E7" s="9"/>
      <c r="F7" s="63"/>
      <c r="G7" s="16"/>
      <c r="H7" s="7"/>
      <c r="I7" s="7"/>
      <c r="J7" s="17"/>
      <c r="K7" s="7"/>
      <c r="L7" s="7"/>
      <c r="M7" s="7"/>
      <c r="N7" s="7"/>
    </row>
    <row r="8" spans="1:14">
      <c r="A8" s="51">
        <v>43805</v>
      </c>
      <c r="B8" s="56" t="s">
        <v>303</v>
      </c>
      <c r="C8" s="1" t="s">
        <v>767</v>
      </c>
      <c r="D8" s="12">
        <v>119</v>
      </c>
      <c r="E8" s="9"/>
      <c r="F8" s="63">
        <v>4020493339</v>
      </c>
      <c r="G8" s="1"/>
      <c r="H8" s="1"/>
      <c r="I8" s="1"/>
      <c r="J8" s="18"/>
      <c r="K8" s="1"/>
      <c r="L8" s="1"/>
      <c r="M8" s="1"/>
      <c r="N8" s="1"/>
    </row>
    <row r="9" spans="1:14">
      <c r="A9" s="51">
        <v>43805</v>
      </c>
      <c r="B9" s="7" t="s">
        <v>21</v>
      </c>
      <c r="C9" s="1" t="s">
        <v>25</v>
      </c>
      <c r="D9" s="12">
        <v>30.25</v>
      </c>
      <c r="E9" s="16"/>
      <c r="F9" s="55" t="s">
        <v>925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43805</v>
      </c>
      <c r="B10" s="7" t="s">
        <v>27</v>
      </c>
      <c r="C10" s="1" t="s">
        <v>28</v>
      </c>
      <c r="D10" s="12">
        <v>77.95</v>
      </c>
      <c r="E10" s="16"/>
      <c r="F10" s="60" t="s">
        <v>926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70</v>
      </c>
      <c r="E11" s="9"/>
      <c r="F11" s="1"/>
      <c r="H11" s="11"/>
      <c r="I11" s="11"/>
      <c r="J11" s="19"/>
      <c r="K11" s="11"/>
      <c r="L11" s="11"/>
      <c r="M11" s="11"/>
      <c r="N11" s="11"/>
    </row>
    <row r="12" spans="1:14">
      <c r="A12" s="51">
        <v>43805</v>
      </c>
      <c r="B12" s="7" t="s">
        <v>31</v>
      </c>
      <c r="C12" s="1" t="s">
        <v>186</v>
      </c>
      <c r="D12" s="12">
        <v>53.1</v>
      </c>
      <c r="E12" s="9"/>
      <c r="F12" s="55" t="s">
        <v>927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43818</v>
      </c>
      <c r="B13" s="7" t="s">
        <v>863</v>
      </c>
      <c r="C13" s="1" t="s">
        <v>864</v>
      </c>
      <c r="D13" s="12">
        <v>510</v>
      </c>
      <c r="E13" s="12"/>
      <c r="F13" s="65" t="s">
        <v>928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43818</v>
      </c>
      <c r="B14" s="7" t="s">
        <v>367</v>
      </c>
      <c r="C14" s="1" t="s">
        <v>35</v>
      </c>
      <c r="D14" s="12">
        <v>161</v>
      </c>
      <c r="E14" s="9"/>
      <c r="F14" s="65" t="s">
        <v>929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56" t="s">
        <v>879</v>
      </c>
      <c r="C15" s="1" t="s">
        <v>880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43805</v>
      </c>
      <c r="B20" s="1" t="s">
        <v>45</v>
      </c>
      <c r="C20" s="1" t="s">
        <v>46</v>
      </c>
      <c r="D20" s="12"/>
      <c r="E20" s="1"/>
      <c r="F20" s="63">
        <v>457039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43805</v>
      </c>
      <c r="B21" s="1" t="s">
        <v>48</v>
      </c>
      <c r="C21" s="1" t="s">
        <v>49</v>
      </c>
      <c r="D21" s="12">
        <f>D7+D11+14</f>
        <v>97.99</v>
      </c>
      <c r="E21" s="1"/>
      <c r="F21" s="63"/>
      <c r="H21" s="1"/>
      <c r="I21" s="1"/>
      <c r="J21" s="18"/>
      <c r="K21" s="1"/>
      <c r="L21" s="1"/>
      <c r="M21" s="1"/>
      <c r="N21" s="1"/>
    </row>
    <row r="22" spans="1:14">
      <c r="A22" s="51">
        <v>43805</v>
      </c>
      <c r="B22" s="1" t="s">
        <v>27</v>
      </c>
      <c r="C22" s="1" t="s">
        <v>43</v>
      </c>
      <c r="D22" s="12"/>
      <c r="E22" s="1"/>
      <c r="F22" s="63" t="s">
        <v>930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>
        <v>43792</v>
      </c>
      <c r="B23" s="1" t="s">
        <v>51</v>
      </c>
      <c r="C23" s="1" t="s">
        <v>52</v>
      </c>
      <c r="E23" s="1"/>
      <c r="F23" s="65" t="s">
        <v>931</v>
      </c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25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>
        <v>43805</v>
      </c>
      <c r="B25" s="1" t="s">
        <v>27</v>
      </c>
      <c r="C25" s="1" t="s">
        <v>905</v>
      </c>
      <c r="D25">
        <v>25</v>
      </c>
      <c r="E25" s="1"/>
      <c r="F25" s="65" t="s">
        <v>933</v>
      </c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SUM(D3:D20,D22,D23,D26,D27)</f>
        <v>2934.73</v>
      </c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2367.27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591.8175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216.8175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934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43828</v>
      </c>
      <c r="B3" s="7" t="s">
        <v>6</v>
      </c>
      <c r="C3" s="1" t="s">
        <v>359</v>
      </c>
      <c r="D3" s="8">
        <v>1160.94</v>
      </c>
      <c r="E3" s="9"/>
      <c r="F3" s="69" t="s">
        <v>935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43828</v>
      </c>
      <c r="B4" s="7" t="s">
        <v>10</v>
      </c>
      <c r="C4" s="1" t="s">
        <v>13</v>
      </c>
      <c r="D4" s="12">
        <v>138.1</v>
      </c>
      <c r="E4" s="9"/>
      <c r="F4" s="64" t="s">
        <v>936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43833</v>
      </c>
      <c r="B6" s="56" t="s">
        <v>303</v>
      </c>
      <c r="C6" s="1" t="s">
        <v>767</v>
      </c>
      <c r="D6" s="12">
        <v>119</v>
      </c>
      <c r="E6" s="9"/>
      <c r="F6" s="63">
        <v>4528437087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43847</v>
      </c>
      <c r="B7" s="7" t="s">
        <v>155</v>
      </c>
      <c r="C7" s="1" t="s">
        <v>16</v>
      </c>
      <c r="D7" s="12">
        <v>70</v>
      </c>
      <c r="E7" s="12"/>
      <c r="F7" s="1" t="s">
        <v>937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43833</v>
      </c>
      <c r="B8" s="7" t="s">
        <v>21</v>
      </c>
      <c r="C8" s="1" t="s">
        <v>23</v>
      </c>
      <c r="D8" s="12">
        <v>545.78</v>
      </c>
      <c r="E8" s="9"/>
      <c r="F8" s="65" t="s">
        <v>938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55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43847</v>
      </c>
      <c r="B10" s="7" t="s">
        <v>27</v>
      </c>
      <c r="C10" s="1" t="s">
        <v>28</v>
      </c>
      <c r="D10" s="12">
        <v>77.95</v>
      </c>
      <c r="E10" s="16"/>
      <c r="F10" s="60" t="s">
        <v>939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70</v>
      </c>
      <c r="E11" s="9"/>
      <c r="F11" s="1"/>
      <c r="H11" s="11"/>
      <c r="I11" s="11"/>
      <c r="J11" s="19"/>
      <c r="K11" s="11"/>
      <c r="L11" s="11"/>
      <c r="M11" s="11"/>
      <c r="N11" s="11"/>
    </row>
    <row r="12" spans="1:14">
      <c r="A12" s="51">
        <v>43846</v>
      </c>
      <c r="B12" s="7" t="s">
        <v>31</v>
      </c>
      <c r="C12" s="1" t="s">
        <v>186</v>
      </c>
      <c r="D12" s="12">
        <v>53.1</v>
      </c>
      <c r="E12" s="9"/>
      <c r="F12" s="55" t="s">
        <v>940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43847</v>
      </c>
      <c r="B13" s="7" t="s">
        <v>863</v>
      </c>
      <c r="C13" s="1" t="s">
        <v>864</v>
      </c>
      <c r="D13" s="12">
        <v>510</v>
      </c>
      <c r="E13" s="12"/>
      <c r="F13" s="65" t="s">
        <v>941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43847</v>
      </c>
      <c r="B14" s="7" t="s">
        <v>367</v>
      </c>
      <c r="C14" s="1" t="s">
        <v>35</v>
      </c>
      <c r="D14" s="12">
        <v>161</v>
      </c>
      <c r="E14" s="9"/>
      <c r="F14" s="65" t="s">
        <v>942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56" t="s">
        <v>879</v>
      </c>
      <c r="C15" s="1" t="s">
        <v>880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43833</v>
      </c>
      <c r="B20" s="1" t="s">
        <v>45</v>
      </c>
      <c r="C20" s="1" t="s">
        <v>46</v>
      </c>
      <c r="D20" s="12"/>
      <c r="E20" s="1"/>
      <c r="F20" s="63">
        <v>234081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43846</v>
      </c>
      <c r="B21" s="1" t="s">
        <v>48</v>
      </c>
      <c r="C21" s="1" t="s">
        <v>49</v>
      </c>
      <c r="D21" s="12">
        <f>D5+D11+14</f>
        <v>97.99</v>
      </c>
      <c r="E21" s="1"/>
      <c r="F21" s="63"/>
      <c r="H21" s="1"/>
      <c r="I21" s="1"/>
      <c r="J21" s="18"/>
      <c r="K21" s="1"/>
      <c r="L21" s="1"/>
      <c r="M21" s="1"/>
      <c r="N21" s="1"/>
    </row>
    <row r="22" spans="1:14">
      <c r="A22" s="51">
        <v>43847</v>
      </c>
      <c r="B22" s="1" t="s">
        <v>27</v>
      </c>
      <c r="C22" s="1" t="s">
        <v>43</v>
      </c>
      <c r="D22" s="12"/>
      <c r="E22" s="1"/>
      <c r="F22" s="63" t="s">
        <v>943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>
        <v>43833</v>
      </c>
      <c r="B23" s="1" t="s">
        <v>51</v>
      </c>
      <c r="C23" s="1" t="s">
        <v>52</v>
      </c>
      <c r="E23" s="1"/>
      <c r="F23" s="65" t="s">
        <v>944</v>
      </c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43847</v>
      </c>
      <c r="B24" s="1" t="s">
        <v>51</v>
      </c>
      <c r="C24" s="1" t="s">
        <v>932</v>
      </c>
      <c r="D24">
        <v>25</v>
      </c>
      <c r="E24" s="1"/>
      <c r="F24" s="65" t="s">
        <v>945</v>
      </c>
      <c r="G24" s="1"/>
      <c r="H24" s="1"/>
      <c r="I24" s="1"/>
      <c r="J24" s="18"/>
      <c r="K24" s="1"/>
      <c r="L24" s="70"/>
      <c r="M24" s="1"/>
      <c r="N24" s="1"/>
    </row>
    <row r="25" spans="1:14">
      <c r="A25" s="53">
        <v>43847</v>
      </c>
      <c r="B25" s="1" t="s">
        <v>27</v>
      </c>
      <c r="C25" s="1" t="s">
        <v>905</v>
      </c>
      <c r="D25">
        <v>25</v>
      </c>
      <c r="E25" s="1"/>
      <c r="F25" s="65" t="s">
        <v>946</v>
      </c>
      <c r="G25" s="1"/>
      <c r="H25" s="1"/>
      <c r="I25" s="1"/>
      <c r="J25" s="18"/>
      <c r="K25" s="1"/>
      <c r="L25" s="70"/>
      <c r="M25" s="1"/>
      <c r="N25" s="1"/>
    </row>
    <row r="26" spans="1:14">
      <c r="A26" s="53">
        <v>43847</v>
      </c>
      <c r="B26" s="1" t="s">
        <v>38</v>
      </c>
      <c r="C26" s="1" t="s">
        <v>39</v>
      </c>
      <c r="D26" s="23">
        <v>0</v>
      </c>
      <c r="E26" s="1"/>
      <c r="F26" s="65" t="s">
        <v>947</v>
      </c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SUM(D3:D20,D22,D23,D26,D27)</f>
        <v>2950.1099999999997</v>
      </c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2351.8900000000003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587.97250000000008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212.97250000000008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948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43861</v>
      </c>
      <c r="B3" s="7" t="s">
        <v>6</v>
      </c>
      <c r="C3" s="1" t="s">
        <v>359</v>
      </c>
      <c r="D3" s="8">
        <v>1160.94</v>
      </c>
      <c r="E3" s="9"/>
      <c r="F3" s="69" t="s">
        <v>949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43861</v>
      </c>
      <c r="B4" s="7" t="s">
        <v>10</v>
      </c>
      <c r="C4" s="1" t="s">
        <v>13</v>
      </c>
      <c r="D4" s="12">
        <v>138.1</v>
      </c>
      <c r="E4" s="9"/>
      <c r="F4" s="64" t="s">
        <v>950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43861</v>
      </c>
      <c r="B6" s="56" t="s">
        <v>303</v>
      </c>
      <c r="C6" s="1" t="s">
        <v>767</v>
      </c>
      <c r="D6" s="12">
        <v>119</v>
      </c>
      <c r="E6" s="9"/>
      <c r="F6" s="63">
        <v>1436354230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43875</v>
      </c>
      <c r="B7" s="7" t="s">
        <v>155</v>
      </c>
      <c r="C7" s="1" t="s">
        <v>16</v>
      </c>
      <c r="D7" s="12">
        <v>70</v>
      </c>
      <c r="E7" s="12"/>
      <c r="F7" s="1" t="s">
        <v>951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43875</v>
      </c>
      <c r="B8" s="7" t="s">
        <v>21</v>
      </c>
      <c r="C8" s="1" t="s">
        <v>23</v>
      </c>
      <c r="D8" s="12">
        <v>545.78</v>
      </c>
      <c r="E8" s="9"/>
      <c r="F8" s="65" t="s">
        <v>952</v>
      </c>
      <c r="H8" s="11"/>
      <c r="I8" s="11"/>
      <c r="J8" s="19"/>
      <c r="K8" s="11"/>
      <c r="L8" s="11"/>
      <c r="M8" s="11"/>
      <c r="N8" s="11"/>
    </row>
    <row r="9" spans="1:14">
      <c r="A9" s="51">
        <v>43868</v>
      </c>
      <c r="B9" s="7" t="s">
        <v>21</v>
      </c>
      <c r="C9" s="1" t="s">
        <v>25</v>
      </c>
      <c r="D9" s="12">
        <v>30.25</v>
      </c>
      <c r="E9" s="16"/>
      <c r="F9" s="55" t="s">
        <v>953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43875</v>
      </c>
      <c r="B10" s="7" t="s">
        <v>27</v>
      </c>
      <c r="C10" s="1" t="s">
        <v>28</v>
      </c>
      <c r="D10" s="12">
        <v>77.95</v>
      </c>
      <c r="E10" s="16"/>
      <c r="F10" s="60" t="s">
        <v>954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70</v>
      </c>
      <c r="E11" s="9"/>
      <c r="F11" s="1"/>
      <c r="H11" s="11"/>
      <c r="I11" s="11"/>
      <c r="J11" s="19"/>
      <c r="K11" s="11"/>
      <c r="L11" s="11"/>
      <c r="M11" s="11"/>
      <c r="N11" s="11"/>
    </row>
    <row r="12" spans="1:14">
      <c r="A12" s="51">
        <v>43868</v>
      </c>
      <c r="B12" s="7" t="s">
        <v>31</v>
      </c>
      <c r="C12" s="1" t="s">
        <v>186</v>
      </c>
      <c r="D12" s="12">
        <v>53.1</v>
      </c>
      <c r="E12" s="9"/>
      <c r="F12" s="55" t="s">
        <v>955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43875</v>
      </c>
      <c r="B13" s="7" t="s">
        <v>863</v>
      </c>
      <c r="C13" s="1" t="s">
        <v>864</v>
      </c>
      <c r="D13" s="12">
        <v>510</v>
      </c>
      <c r="E13" s="12"/>
      <c r="F13" s="65" t="s">
        <v>956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43888</v>
      </c>
      <c r="B14" s="7" t="s">
        <v>367</v>
      </c>
      <c r="C14" s="1" t="s">
        <v>35</v>
      </c>
      <c r="D14" s="12">
        <v>161</v>
      </c>
      <c r="E14" s="9"/>
      <c r="F14" s="65" t="s">
        <v>957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>
        <v>43889</v>
      </c>
      <c r="B15" s="56" t="s">
        <v>879</v>
      </c>
      <c r="C15" s="1" t="s">
        <v>958</v>
      </c>
      <c r="D15" s="12">
        <v>0</v>
      </c>
      <c r="E15" s="9"/>
      <c r="F15" s="65" t="s">
        <v>959</v>
      </c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43861</v>
      </c>
      <c r="B20" s="1" t="s">
        <v>45</v>
      </c>
      <c r="C20" s="1" t="s">
        <v>46</v>
      </c>
      <c r="D20" s="12"/>
      <c r="E20" s="1"/>
      <c r="F20" s="63">
        <v>866810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43875</v>
      </c>
      <c r="B21" s="1" t="s">
        <v>48</v>
      </c>
      <c r="C21" s="1" t="s">
        <v>49</v>
      </c>
      <c r="D21" s="12">
        <f>D5+D11+14</f>
        <v>97.99</v>
      </c>
      <c r="E21" s="1"/>
      <c r="F21" s="55">
        <v>25838</v>
      </c>
      <c r="H21" s="1"/>
      <c r="I21" s="1"/>
      <c r="J21" s="18"/>
      <c r="K21" s="1"/>
      <c r="L21" s="1"/>
      <c r="M21" s="1"/>
      <c r="N21" s="1"/>
    </row>
    <row r="22" spans="1:14">
      <c r="A22" s="51">
        <v>43875</v>
      </c>
      <c r="B22" s="1" t="s">
        <v>27</v>
      </c>
      <c r="C22" s="1" t="s">
        <v>43</v>
      </c>
      <c r="D22" s="12"/>
      <c r="E22" s="1"/>
      <c r="F22" s="63" t="s">
        <v>960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>
        <v>43888</v>
      </c>
      <c r="B23" s="1" t="s">
        <v>51</v>
      </c>
      <c r="C23" s="1" t="s">
        <v>52</v>
      </c>
      <c r="E23" s="1"/>
      <c r="F23" s="65" t="s">
        <v>961</v>
      </c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43875</v>
      </c>
      <c r="B24" s="1" t="s">
        <v>51</v>
      </c>
      <c r="C24" s="1" t="s">
        <v>932</v>
      </c>
      <c r="D24">
        <v>25</v>
      </c>
      <c r="E24" s="1"/>
      <c r="F24" s="65" t="s">
        <v>962</v>
      </c>
      <c r="G24" s="1"/>
      <c r="H24" s="1"/>
      <c r="I24" s="1"/>
      <c r="J24" s="18"/>
      <c r="K24" s="1"/>
      <c r="L24" s="70"/>
      <c r="M24" s="1"/>
      <c r="N24" s="1"/>
    </row>
    <row r="25" spans="1:14">
      <c r="A25" s="53">
        <v>43875</v>
      </c>
      <c r="B25" s="1" t="s">
        <v>27</v>
      </c>
      <c r="C25" s="1" t="s">
        <v>905</v>
      </c>
      <c r="D25">
        <v>25</v>
      </c>
      <c r="E25" s="1"/>
      <c r="F25" s="65" t="s">
        <v>963</v>
      </c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SUM(D3:D20,D22,D23,D26,D27)</f>
        <v>2950.1099999999997</v>
      </c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2351.8900000000003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587.97250000000008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212.97250000000008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N50"/>
  <sheetViews>
    <sheetView zoomScaleNormal="100" workbookViewId="0">
      <selection activeCell="F3" sqref="F3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964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43889</v>
      </c>
      <c r="B3" s="7" t="s">
        <v>6</v>
      </c>
      <c r="C3" s="1" t="s">
        <v>359</v>
      </c>
      <c r="D3" s="8">
        <v>1160.94</v>
      </c>
      <c r="E3" s="9"/>
      <c r="F3" s="69" t="s">
        <v>965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43889</v>
      </c>
      <c r="B4" s="7" t="s">
        <v>10</v>
      </c>
      <c r="C4" s="1" t="s">
        <v>13</v>
      </c>
      <c r="D4" s="12">
        <v>138.1</v>
      </c>
      <c r="E4" s="9"/>
      <c r="F4" s="64" t="s">
        <v>966</v>
      </c>
      <c r="G4" s="11"/>
      <c r="H4" s="11"/>
      <c r="I4" s="59"/>
      <c r="J4" s="19"/>
      <c r="K4" s="11"/>
      <c r="L4" s="11"/>
      <c r="M4" s="11"/>
      <c r="N4" s="11"/>
    </row>
    <row r="5" spans="1:14" ht="15.75">
      <c r="A5" s="51" t="s">
        <v>9</v>
      </c>
      <c r="B5" s="7" t="s">
        <v>967</v>
      </c>
      <c r="C5" s="1" t="s">
        <v>968</v>
      </c>
      <c r="D5" s="12"/>
      <c r="E5" s="9"/>
      <c r="F5" s="64"/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747</v>
      </c>
      <c r="D6" s="12">
        <v>13.99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>
        <v>43903</v>
      </c>
      <c r="B7" s="56" t="s">
        <v>303</v>
      </c>
      <c r="C7" s="1" t="s">
        <v>767</v>
      </c>
      <c r="D7" s="12">
        <v>119</v>
      </c>
      <c r="E7" s="9"/>
      <c r="F7" s="63">
        <v>1448585256</v>
      </c>
      <c r="G7" s="1"/>
      <c r="H7" s="1"/>
      <c r="I7" s="1"/>
      <c r="J7" s="18"/>
      <c r="K7" s="1"/>
      <c r="L7" s="1"/>
      <c r="M7" s="1"/>
      <c r="N7" s="1"/>
    </row>
    <row r="8" spans="1:14">
      <c r="A8" s="51">
        <v>43903</v>
      </c>
      <c r="B8" s="7" t="s">
        <v>155</v>
      </c>
      <c r="C8" s="1" t="s">
        <v>16</v>
      </c>
      <c r="D8" s="12">
        <v>70</v>
      </c>
      <c r="E8" s="12"/>
      <c r="F8" s="1" t="s">
        <v>969</v>
      </c>
      <c r="G8" s="16"/>
      <c r="H8" s="7"/>
      <c r="I8" s="7"/>
      <c r="J8" s="17"/>
      <c r="K8" s="7"/>
      <c r="L8" s="7"/>
      <c r="M8" s="7"/>
      <c r="N8" s="7"/>
    </row>
    <row r="9" spans="1:14">
      <c r="A9" s="51">
        <v>43903</v>
      </c>
      <c r="B9" s="7" t="s">
        <v>21</v>
      </c>
      <c r="C9" s="1" t="s">
        <v>23</v>
      </c>
      <c r="D9" s="12">
        <v>545.78</v>
      </c>
      <c r="E9" s="9"/>
      <c r="F9" s="65" t="s">
        <v>970</v>
      </c>
      <c r="H9" s="11"/>
      <c r="I9" s="11"/>
      <c r="J9" s="19"/>
      <c r="K9" s="11"/>
      <c r="L9" s="11"/>
      <c r="M9" s="11"/>
      <c r="N9" s="11"/>
    </row>
    <row r="10" spans="1:14">
      <c r="A10" s="51" t="s">
        <v>9</v>
      </c>
      <c r="B10" s="7" t="s">
        <v>21</v>
      </c>
      <c r="C10" s="1" t="s">
        <v>25</v>
      </c>
      <c r="D10" s="12">
        <v>30.25</v>
      </c>
      <c r="E10" s="16"/>
      <c r="F10" s="55"/>
      <c r="G10" s="11"/>
      <c r="H10" s="11"/>
      <c r="I10" s="11"/>
      <c r="J10" s="19"/>
      <c r="K10" s="11"/>
      <c r="L10" s="11"/>
      <c r="M10" s="11"/>
      <c r="N10" s="11"/>
    </row>
    <row r="11" spans="1:14">
      <c r="A11" s="51">
        <v>43903</v>
      </c>
      <c r="B11" s="7" t="s">
        <v>27</v>
      </c>
      <c r="C11" s="1" t="s">
        <v>28</v>
      </c>
      <c r="D11" s="12">
        <v>83.95</v>
      </c>
      <c r="E11" s="16"/>
      <c r="F11" s="60" t="s">
        <v>971</v>
      </c>
      <c r="H11" s="11"/>
      <c r="I11" s="11"/>
      <c r="J11" s="19"/>
      <c r="K11" s="11"/>
      <c r="L11" s="11"/>
      <c r="M11" s="11"/>
      <c r="N11" s="11"/>
    </row>
    <row r="12" spans="1:14">
      <c r="A12" s="51" t="s">
        <v>9</v>
      </c>
      <c r="B12" s="7" t="s">
        <v>27</v>
      </c>
      <c r="C12" s="1" t="s">
        <v>333</v>
      </c>
      <c r="D12" s="12">
        <v>70</v>
      </c>
      <c r="E12" s="9"/>
      <c r="F12" s="1"/>
      <c r="H12" s="11"/>
      <c r="I12" s="11"/>
      <c r="J12" s="19"/>
      <c r="K12" s="11"/>
      <c r="L12" s="11"/>
      <c r="M12" s="11"/>
      <c r="N12" s="11"/>
    </row>
    <row r="13" spans="1:14">
      <c r="A13" s="51">
        <v>43903</v>
      </c>
      <c r="B13" s="7" t="s">
        <v>31</v>
      </c>
      <c r="C13" s="1" t="s">
        <v>186</v>
      </c>
      <c r="D13" s="12">
        <v>53.1</v>
      </c>
      <c r="E13" s="9"/>
      <c r="F13" s="55" t="s">
        <v>972</v>
      </c>
      <c r="G13" s="20"/>
      <c r="H13" s="11"/>
      <c r="I13" s="11"/>
      <c r="J13" s="19"/>
      <c r="K13" s="11"/>
      <c r="L13" s="11"/>
      <c r="M13" s="11"/>
      <c r="N13" s="11"/>
    </row>
    <row r="14" spans="1:14">
      <c r="A14" s="51">
        <v>43917</v>
      </c>
      <c r="B14" s="7" t="s">
        <v>863</v>
      </c>
      <c r="C14" s="1" t="s">
        <v>864</v>
      </c>
      <c r="D14" s="12">
        <v>510</v>
      </c>
      <c r="E14" s="12"/>
      <c r="F14" s="65" t="s">
        <v>973</v>
      </c>
      <c r="G14" s="35"/>
      <c r="H14" s="1"/>
      <c r="I14" s="1"/>
      <c r="J14" s="18"/>
      <c r="K14" s="1"/>
      <c r="L14" s="1"/>
      <c r="M14" s="1"/>
      <c r="N14" s="1"/>
    </row>
    <row r="15" spans="1:14">
      <c r="A15" s="51">
        <v>43917</v>
      </c>
      <c r="B15" s="7" t="s">
        <v>367</v>
      </c>
      <c r="C15" s="1" t="s">
        <v>35</v>
      </c>
      <c r="D15" s="12">
        <v>161</v>
      </c>
      <c r="E15" s="9"/>
      <c r="F15" s="65" t="s">
        <v>974</v>
      </c>
      <c r="G15" s="7"/>
      <c r="H15" s="7"/>
      <c r="I15" s="7"/>
      <c r="J15" s="17"/>
      <c r="K15" s="7"/>
      <c r="L15" s="7"/>
      <c r="M15" s="7"/>
      <c r="N15" s="7"/>
    </row>
    <row r="16" spans="1:14">
      <c r="A16" s="51" t="s">
        <v>9</v>
      </c>
      <c r="B16" s="56" t="s">
        <v>975</v>
      </c>
      <c r="C16" s="1" t="s">
        <v>958</v>
      </c>
      <c r="D16" s="12">
        <v>0</v>
      </c>
      <c r="E16" s="9"/>
      <c r="F16" s="65"/>
      <c r="G16" s="7"/>
      <c r="H16" s="7"/>
      <c r="I16" s="7"/>
      <c r="J16" s="17"/>
      <c r="K16" s="7"/>
      <c r="L16" s="7"/>
      <c r="M16" s="7"/>
      <c r="N16" s="7"/>
    </row>
    <row r="17" spans="1:14">
      <c r="A17" s="52"/>
      <c r="B17" s="7"/>
      <c r="C17" s="1"/>
      <c r="D17" s="1"/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2"/>
      <c r="B18" s="1"/>
      <c r="C18" s="1"/>
      <c r="D18" s="12">
        <v>0</v>
      </c>
      <c r="E18" s="1"/>
      <c r="F18" s="65"/>
      <c r="G18" s="1"/>
      <c r="H18" s="68"/>
      <c r="I18" s="1"/>
      <c r="J18" s="18"/>
      <c r="K18" s="1"/>
      <c r="L18" s="1"/>
      <c r="M18" s="1"/>
      <c r="N18" s="1"/>
    </row>
    <row r="19" spans="1:14">
      <c r="A19" s="52"/>
      <c r="B19" s="1"/>
      <c r="C19" s="22" t="s">
        <v>37</v>
      </c>
      <c r="D19" s="1"/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1" t="s">
        <v>9</v>
      </c>
      <c r="B20" s="1" t="s">
        <v>45</v>
      </c>
      <c r="C20" s="1" t="s">
        <v>258</v>
      </c>
      <c r="D20" s="12">
        <v>0</v>
      </c>
      <c r="E20" s="1"/>
      <c r="F20" s="65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43898</v>
      </c>
      <c r="B21" s="1" t="s">
        <v>45</v>
      </c>
      <c r="C21" s="1" t="s">
        <v>46</v>
      </c>
      <c r="D21" s="12"/>
      <c r="E21" s="1"/>
      <c r="F21" s="63">
        <v>513210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>
        <v>43903</v>
      </c>
      <c r="B22" s="1" t="s">
        <v>48</v>
      </c>
      <c r="C22" s="1" t="s">
        <v>49</v>
      </c>
      <c r="D22" s="12">
        <f>D6+D12+14</f>
        <v>97.99</v>
      </c>
      <c r="E22" s="1"/>
      <c r="F22" s="55">
        <v>585619</v>
      </c>
      <c r="H22" s="1"/>
      <c r="I22" s="1"/>
      <c r="J22" s="18"/>
      <c r="K22" s="1"/>
      <c r="L22" s="1"/>
      <c r="M22" s="1"/>
      <c r="N22" s="1"/>
    </row>
    <row r="23" spans="1:14">
      <c r="A23" s="51">
        <v>43903</v>
      </c>
      <c r="B23" s="1" t="s">
        <v>27</v>
      </c>
      <c r="C23" s="1" t="s">
        <v>43</v>
      </c>
      <c r="D23" s="12"/>
      <c r="E23" s="1"/>
      <c r="F23" s="63" t="s">
        <v>976</v>
      </c>
      <c r="G23" s="1"/>
      <c r="H23" s="1"/>
      <c r="I23" s="1"/>
      <c r="J23" s="18"/>
      <c r="K23" s="1"/>
      <c r="L23" s="1"/>
      <c r="M23" s="1"/>
      <c r="N23" s="1"/>
    </row>
    <row r="24" spans="1:14">
      <c r="A24" s="53" t="s">
        <v>9</v>
      </c>
      <c r="B24" s="1" t="s">
        <v>51</v>
      </c>
      <c r="C24" s="1" t="s">
        <v>52</v>
      </c>
      <c r="E24" s="1"/>
      <c r="F24" s="65"/>
      <c r="G24" s="1"/>
      <c r="H24" s="1"/>
      <c r="I24" s="1"/>
      <c r="J24" s="18"/>
      <c r="K24" s="1"/>
      <c r="L24" s="48"/>
      <c r="M24" s="1"/>
      <c r="N24" s="1"/>
    </row>
    <row r="25" spans="1:14">
      <c r="A25" s="53">
        <v>43903</v>
      </c>
      <c r="B25" s="1" t="s">
        <v>51</v>
      </c>
      <c r="C25" s="1" t="s">
        <v>932</v>
      </c>
      <c r="D25">
        <v>25</v>
      </c>
      <c r="E25" s="1"/>
      <c r="F25" s="65" t="s">
        <v>977</v>
      </c>
      <c r="G25" s="1"/>
      <c r="H25" s="1"/>
      <c r="I25" s="1"/>
      <c r="J25" s="18"/>
      <c r="K25" s="1"/>
      <c r="L25" s="70"/>
      <c r="M25" s="1"/>
      <c r="N25" s="1"/>
    </row>
    <row r="26" spans="1:14">
      <c r="A26" s="53">
        <v>43903</v>
      </c>
      <c r="B26" s="1" t="s">
        <v>27</v>
      </c>
      <c r="C26" s="1" t="s">
        <v>905</v>
      </c>
      <c r="D26">
        <v>25</v>
      </c>
      <c r="E26" s="1"/>
      <c r="F26" s="65" t="s">
        <v>978</v>
      </c>
      <c r="G26" s="1"/>
      <c r="H26" s="1"/>
      <c r="I26" s="1"/>
      <c r="J26" s="18"/>
      <c r="K26" s="1"/>
      <c r="L26" s="70"/>
      <c r="M26" s="1"/>
      <c r="N26" s="1"/>
    </row>
    <row r="27" spans="1:14">
      <c r="A27" s="53" t="s">
        <v>9</v>
      </c>
      <c r="B27" s="1" t="s">
        <v>38</v>
      </c>
      <c r="C27" s="1" t="s">
        <v>39</v>
      </c>
      <c r="D27" s="23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53" t="s">
        <v>9</v>
      </c>
      <c r="B28" s="1" t="s">
        <v>34</v>
      </c>
      <c r="C28" s="1" t="s">
        <v>54</v>
      </c>
      <c r="D28" s="12">
        <v>0</v>
      </c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65"/>
      <c r="G29" s="1"/>
      <c r="H29" s="1"/>
      <c r="I29" s="1"/>
      <c r="J29" s="18"/>
      <c r="K29" s="18"/>
      <c r="L29" s="1"/>
      <c r="M29" s="1"/>
      <c r="N29" s="1"/>
    </row>
    <row r="30" spans="1:14">
      <c r="A30" s="1"/>
      <c r="B30" s="1"/>
      <c r="C30" s="22" t="s">
        <v>56</v>
      </c>
      <c r="D30" s="28">
        <f>SUM(D3:D21,D23,D24,D27,D28)</f>
        <v>2956.1099999999997</v>
      </c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100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5202</v>
      </c>
      <c r="E33" s="30"/>
      <c r="F33" s="65"/>
      <c r="G33" s="29"/>
      <c r="H33" s="29"/>
      <c r="I33" s="29"/>
      <c r="J33" s="31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(D33+D32)-D30</f>
        <v>2345.8900000000003</v>
      </c>
      <c r="E34" s="32"/>
      <c r="F34" s="65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1"/>
      <c r="D35" s="1"/>
      <c r="E35" s="1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3"/>
      <c r="D36" s="12"/>
      <c r="E36" s="12"/>
      <c r="F36" s="61"/>
      <c r="G36" s="1"/>
      <c r="H36" s="1"/>
      <c r="I36" s="1"/>
      <c r="J36" s="18"/>
      <c r="K36" s="1"/>
      <c r="L36" s="1"/>
      <c r="M36" s="1"/>
      <c r="N36" s="1"/>
    </row>
    <row r="37" spans="1:14">
      <c r="B37" s="1"/>
      <c r="C37" s="32">
        <f>D34/4</f>
        <v>586.47250000000008</v>
      </c>
      <c r="D37" s="12"/>
      <c r="E37" s="12"/>
      <c r="F37" s="61"/>
      <c r="G37" s="12"/>
      <c r="H37" s="12"/>
      <c r="I37" s="12"/>
      <c r="J37" s="18"/>
      <c r="K37" s="1"/>
      <c r="L37" s="1"/>
      <c r="M37" s="1"/>
      <c r="N37" s="1"/>
    </row>
    <row r="38" spans="1:14">
      <c r="B38" s="1"/>
      <c r="C38" s="1"/>
      <c r="D38" s="1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1:14">
      <c r="F39" s="66"/>
    </row>
    <row r="41" spans="1:14">
      <c r="B41" s="1"/>
      <c r="C41" s="34">
        <v>300</v>
      </c>
      <c r="D41" s="12" t="s">
        <v>61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>
        <v>75</v>
      </c>
      <c r="D42" s="12" t="s">
        <v>62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1"/>
      <c r="D43" s="12" t="s">
        <v>194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4" spans="1:14">
      <c r="B44" s="1"/>
      <c r="C44" s="32">
        <f>C37-C41-C42-C43</f>
        <v>211.47250000000008</v>
      </c>
      <c r="D44" s="12" t="s">
        <v>63</v>
      </c>
      <c r="E44" s="1"/>
      <c r="F44" s="61"/>
      <c r="G44" s="1"/>
      <c r="H44" s="1"/>
      <c r="I44" s="1"/>
      <c r="J44" s="18"/>
      <c r="K44" s="1"/>
      <c r="L44" s="1"/>
      <c r="M44" s="1"/>
      <c r="N44" s="1"/>
    </row>
    <row r="46" spans="1:14">
      <c r="B46" s="1"/>
      <c r="C46" s="1"/>
      <c r="D46" s="1"/>
      <c r="E46" s="1"/>
      <c r="F46" s="65"/>
      <c r="G46" s="1"/>
      <c r="H46" s="1"/>
      <c r="I46" s="1"/>
      <c r="J46" s="18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50"/>
  <sheetViews>
    <sheetView zoomScaleNormal="100" workbookViewId="0">
      <selection activeCell="I27" sqref="I27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979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43922</v>
      </c>
      <c r="B3" s="7" t="s">
        <v>6</v>
      </c>
      <c r="C3" s="1" t="s">
        <v>359</v>
      </c>
      <c r="D3" s="8">
        <v>1160.94</v>
      </c>
      <c r="E3" s="9"/>
      <c r="F3" s="69" t="s">
        <v>980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43922</v>
      </c>
      <c r="B4" s="7" t="s">
        <v>10</v>
      </c>
      <c r="C4" s="1" t="s">
        <v>13</v>
      </c>
      <c r="D4" s="12">
        <v>138.1</v>
      </c>
      <c r="E4" s="9"/>
      <c r="F4" s="64" t="s">
        <v>981</v>
      </c>
      <c r="G4" s="11"/>
      <c r="H4" s="11"/>
      <c r="I4" s="59"/>
      <c r="J4" s="19"/>
      <c r="K4" s="11"/>
      <c r="L4" s="11"/>
      <c r="M4" s="11"/>
      <c r="N4" s="11"/>
    </row>
    <row r="5" spans="1:14" ht="15.75">
      <c r="A5" s="51">
        <v>43922</v>
      </c>
      <c r="B5" s="7" t="s">
        <v>967</v>
      </c>
      <c r="C5" s="1" t="s">
        <v>968</v>
      </c>
      <c r="D5" s="12">
        <v>131</v>
      </c>
      <c r="E5" s="9"/>
      <c r="F5" s="64">
        <v>3554935378</v>
      </c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747</v>
      </c>
      <c r="D6" s="12">
        <v>13.99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>
        <v>43931</v>
      </c>
      <c r="B7" s="56" t="s">
        <v>303</v>
      </c>
      <c r="C7" s="1" t="s">
        <v>767</v>
      </c>
      <c r="D7" s="12">
        <v>119</v>
      </c>
      <c r="E7" s="9"/>
      <c r="F7" s="63">
        <v>2158102884</v>
      </c>
      <c r="G7" s="1"/>
      <c r="H7" s="1"/>
      <c r="I7" s="1"/>
      <c r="J7" s="18"/>
      <c r="K7" s="1"/>
      <c r="L7" s="1"/>
      <c r="M7" s="1"/>
      <c r="N7" s="1"/>
    </row>
    <row r="8" spans="1:14">
      <c r="A8" s="51">
        <v>43931</v>
      </c>
      <c r="B8" s="7" t="s">
        <v>155</v>
      </c>
      <c r="C8" s="1" t="s">
        <v>16</v>
      </c>
      <c r="D8" s="12">
        <v>70</v>
      </c>
      <c r="E8" s="12"/>
      <c r="F8" s="1" t="s">
        <v>982</v>
      </c>
      <c r="G8" s="16"/>
      <c r="H8" s="7"/>
      <c r="I8" s="7"/>
      <c r="J8" s="17"/>
      <c r="K8" s="7"/>
      <c r="L8" s="7"/>
      <c r="M8" s="7"/>
      <c r="N8" s="7"/>
    </row>
    <row r="9" spans="1:14">
      <c r="A9" s="51" t="s">
        <v>9</v>
      </c>
      <c r="B9" s="7" t="s">
        <v>21</v>
      </c>
      <c r="C9" s="1" t="s">
        <v>23</v>
      </c>
      <c r="D9" s="12">
        <v>545.78</v>
      </c>
      <c r="E9" s="9"/>
      <c r="F9" s="65"/>
      <c r="H9" s="11"/>
      <c r="I9" s="11"/>
      <c r="J9" s="19"/>
      <c r="K9" s="11"/>
      <c r="L9" s="11"/>
      <c r="M9" s="11"/>
      <c r="N9" s="11"/>
    </row>
    <row r="10" spans="1:14">
      <c r="A10" s="51">
        <v>43931</v>
      </c>
      <c r="B10" s="7" t="s">
        <v>21</v>
      </c>
      <c r="C10" s="1" t="s">
        <v>25</v>
      </c>
      <c r="D10" s="12">
        <v>30.25</v>
      </c>
      <c r="E10" s="16"/>
      <c r="F10" s="55" t="s">
        <v>983</v>
      </c>
      <c r="G10" s="11"/>
      <c r="H10" s="11"/>
      <c r="I10" s="11"/>
      <c r="J10" s="19"/>
      <c r="K10" s="11"/>
      <c r="L10" s="11"/>
      <c r="M10" s="11"/>
      <c r="N10" s="11"/>
    </row>
    <row r="11" spans="1:14">
      <c r="A11" s="51">
        <v>43931</v>
      </c>
      <c r="B11" s="7" t="s">
        <v>27</v>
      </c>
      <c r="C11" s="1" t="s">
        <v>28</v>
      </c>
      <c r="D11" s="12">
        <v>83.95</v>
      </c>
      <c r="E11" s="16"/>
      <c r="F11" s="60" t="s">
        <v>984</v>
      </c>
      <c r="H11" s="11"/>
      <c r="I11" s="11"/>
      <c r="J11" s="19"/>
      <c r="K11" s="11"/>
      <c r="L11" s="11"/>
      <c r="M11" s="11"/>
      <c r="N11" s="11"/>
    </row>
    <row r="12" spans="1:14">
      <c r="A12" s="51" t="s">
        <v>9</v>
      </c>
      <c r="B12" s="7" t="s">
        <v>27</v>
      </c>
      <c r="C12" s="1" t="s">
        <v>333</v>
      </c>
      <c r="D12" s="12">
        <v>70</v>
      </c>
      <c r="E12" s="9"/>
      <c r="F12" s="1"/>
      <c r="H12" s="11"/>
      <c r="I12" s="11"/>
      <c r="J12" s="19"/>
      <c r="K12" s="11"/>
      <c r="L12" s="11"/>
      <c r="M12" s="11"/>
      <c r="N12" s="11"/>
    </row>
    <row r="13" spans="1:14">
      <c r="A13" s="51">
        <v>43931</v>
      </c>
      <c r="B13" s="7" t="s">
        <v>31</v>
      </c>
      <c r="C13" s="1" t="s">
        <v>186</v>
      </c>
      <c r="D13" s="12">
        <v>53.1</v>
      </c>
      <c r="E13" s="9"/>
      <c r="F13" s="55" t="s">
        <v>985</v>
      </c>
      <c r="G13" s="20"/>
      <c r="H13" s="11"/>
      <c r="I13" s="11"/>
      <c r="J13" s="19"/>
      <c r="K13" s="11"/>
      <c r="L13" s="11"/>
      <c r="M13" s="11"/>
      <c r="N13" s="11"/>
    </row>
    <row r="14" spans="1:14">
      <c r="A14" s="51" t="s">
        <v>9</v>
      </c>
      <c r="B14" s="7" t="s">
        <v>863</v>
      </c>
      <c r="C14" s="1" t="s">
        <v>864</v>
      </c>
      <c r="D14" s="12">
        <v>510</v>
      </c>
      <c r="E14" s="12"/>
      <c r="F14" s="65"/>
      <c r="G14" s="35"/>
      <c r="H14" s="1"/>
      <c r="I14" s="1"/>
      <c r="J14" s="18"/>
      <c r="K14" s="1"/>
      <c r="L14" s="1"/>
      <c r="M14" s="1"/>
      <c r="N14" s="1"/>
    </row>
    <row r="15" spans="1:14">
      <c r="A15" s="51">
        <v>43936</v>
      </c>
      <c r="B15" s="7" t="s">
        <v>367</v>
      </c>
      <c r="C15" s="1" t="s">
        <v>35</v>
      </c>
      <c r="D15" s="12">
        <v>161</v>
      </c>
      <c r="E15" s="9"/>
      <c r="F15" s="65" t="s">
        <v>986</v>
      </c>
      <c r="G15" s="7"/>
      <c r="H15" s="7"/>
      <c r="I15" s="7"/>
      <c r="J15" s="17"/>
      <c r="K15" s="7"/>
      <c r="L15" s="7"/>
      <c r="M15" s="7"/>
      <c r="N15" s="7"/>
    </row>
    <row r="16" spans="1:14">
      <c r="A16" s="51" t="s">
        <v>9</v>
      </c>
      <c r="B16" s="56" t="s">
        <v>975</v>
      </c>
      <c r="C16" s="1" t="s">
        <v>958</v>
      </c>
      <c r="D16" s="12">
        <v>0</v>
      </c>
      <c r="E16" s="9"/>
      <c r="F16" s="65"/>
      <c r="G16" s="7"/>
      <c r="H16" s="7"/>
      <c r="I16" s="7"/>
      <c r="J16" s="17"/>
      <c r="K16" s="7"/>
      <c r="L16" s="7"/>
      <c r="M16" s="7"/>
      <c r="N16" s="7"/>
    </row>
    <row r="17" spans="1:14">
      <c r="A17" s="52"/>
      <c r="B17" s="7"/>
      <c r="C17" s="1"/>
      <c r="D17" s="1"/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2"/>
      <c r="B18" s="1"/>
      <c r="C18" s="1"/>
      <c r="D18" s="12">
        <v>0</v>
      </c>
      <c r="E18" s="1"/>
      <c r="F18" s="65"/>
      <c r="G18" s="1"/>
      <c r="H18" s="68"/>
      <c r="I18" s="1"/>
      <c r="J18" s="18"/>
      <c r="K18" s="1"/>
      <c r="L18" s="1"/>
      <c r="M18" s="1"/>
      <c r="N18" s="1"/>
    </row>
    <row r="19" spans="1:14">
      <c r="A19" s="52"/>
      <c r="B19" s="1"/>
      <c r="C19" s="22" t="s">
        <v>37</v>
      </c>
      <c r="D19" s="1"/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1" t="s">
        <v>9</v>
      </c>
      <c r="B20" s="1" t="s">
        <v>45</v>
      </c>
      <c r="C20" s="1" t="s">
        <v>258</v>
      </c>
      <c r="D20" s="12">
        <v>0</v>
      </c>
      <c r="E20" s="1"/>
      <c r="F20" s="65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43931</v>
      </c>
      <c r="B21" s="1" t="s">
        <v>45</v>
      </c>
      <c r="C21" s="1" t="s">
        <v>46</v>
      </c>
      <c r="D21" s="12"/>
      <c r="E21" s="1"/>
      <c r="F21" s="63">
        <v>567554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>
        <v>43936</v>
      </c>
      <c r="B22" s="1" t="s">
        <v>48</v>
      </c>
      <c r="C22" s="1" t="s">
        <v>49</v>
      </c>
      <c r="D22" s="12">
        <f>D6+D12+14</f>
        <v>97.99</v>
      </c>
      <c r="E22" s="1"/>
      <c r="F22" s="55">
        <v>799805</v>
      </c>
      <c r="H22" s="1"/>
      <c r="I22" s="1"/>
      <c r="J22" s="18"/>
      <c r="K22" s="1"/>
      <c r="L22" s="1"/>
      <c r="M22" s="1"/>
      <c r="N22" s="1"/>
    </row>
    <row r="23" spans="1:14">
      <c r="A23" s="51">
        <v>43931</v>
      </c>
      <c r="B23" s="1" t="s">
        <v>27</v>
      </c>
      <c r="C23" s="1" t="s">
        <v>43</v>
      </c>
      <c r="D23" s="12"/>
      <c r="E23" s="1"/>
      <c r="F23" s="63" t="s">
        <v>987</v>
      </c>
      <c r="G23" s="1"/>
      <c r="H23" s="1"/>
      <c r="I23" s="1"/>
      <c r="J23" s="18"/>
      <c r="K23" s="1"/>
      <c r="L23" s="1">
        <v>2595.13</v>
      </c>
      <c r="M23" s="1"/>
      <c r="N23" s="1"/>
    </row>
    <row r="24" spans="1:14">
      <c r="A24" s="53" t="s">
        <v>9</v>
      </c>
      <c r="B24" s="1" t="s">
        <v>51</v>
      </c>
      <c r="C24" s="1" t="s">
        <v>52</v>
      </c>
      <c r="E24" s="1"/>
      <c r="F24" s="65"/>
      <c r="G24" s="1"/>
      <c r="H24" s="1"/>
      <c r="I24" s="1"/>
      <c r="J24" s="18"/>
      <c r="K24" s="1"/>
      <c r="L24" s="48">
        <v>500</v>
      </c>
      <c r="M24" s="1"/>
      <c r="N24" s="1"/>
    </row>
    <row r="25" spans="1:14">
      <c r="A25" s="53">
        <v>43936</v>
      </c>
      <c r="B25" s="1" t="s">
        <v>51</v>
      </c>
      <c r="C25" s="1" t="s">
        <v>932</v>
      </c>
      <c r="D25">
        <v>25</v>
      </c>
      <c r="E25" s="1"/>
      <c r="F25" s="65" t="s">
        <v>988</v>
      </c>
      <c r="G25" s="1"/>
      <c r="H25" s="1"/>
      <c r="I25" s="1"/>
      <c r="J25" s="18"/>
      <c r="K25" s="1"/>
      <c r="L25" s="70">
        <f>L24+L23</f>
        <v>3095.13</v>
      </c>
      <c r="M25" s="1"/>
      <c r="N25" s="1"/>
    </row>
    <row r="26" spans="1:14">
      <c r="A26" s="53">
        <v>43936</v>
      </c>
      <c r="B26" s="1" t="s">
        <v>27</v>
      </c>
      <c r="C26" s="1" t="s">
        <v>905</v>
      </c>
      <c r="D26">
        <v>25</v>
      </c>
      <c r="E26" s="1"/>
      <c r="F26" s="65" t="s">
        <v>989</v>
      </c>
      <c r="G26" s="1"/>
      <c r="H26" s="1"/>
      <c r="I26" s="1"/>
      <c r="J26" s="18"/>
      <c r="K26" s="1"/>
      <c r="L26" s="70">
        <f>L25/10</f>
        <v>309.51300000000003</v>
      </c>
      <c r="M26" s="1"/>
      <c r="N26" s="1"/>
    </row>
    <row r="27" spans="1:14">
      <c r="A27" s="53" t="s">
        <v>9</v>
      </c>
      <c r="B27" s="1" t="s">
        <v>38</v>
      </c>
      <c r="C27" s="1" t="s">
        <v>39</v>
      </c>
      <c r="D27" s="23">
        <v>0</v>
      </c>
      <c r="E27" s="1"/>
      <c r="F27" s="65"/>
      <c r="G27" s="1"/>
      <c r="H27" s="1"/>
      <c r="I27" s="1"/>
      <c r="J27" s="18"/>
      <c r="K27" s="1"/>
      <c r="L27" s="1">
        <f>L26*3</f>
        <v>928.5390000000001</v>
      </c>
      <c r="M27" s="1"/>
      <c r="N27" s="1"/>
    </row>
    <row r="28" spans="1:14">
      <c r="A28" s="53" t="s">
        <v>9</v>
      </c>
      <c r="B28" s="1" t="s">
        <v>34</v>
      </c>
      <c r="C28" s="1" t="s">
        <v>54</v>
      </c>
      <c r="D28" s="12">
        <v>0</v>
      </c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65"/>
      <c r="G29" s="1"/>
      <c r="H29" s="1"/>
      <c r="I29" s="1"/>
      <c r="J29" s="18"/>
      <c r="K29" s="18"/>
      <c r="L29" s="1"/>
      <c r="M29" s="1"/>
      <c r="N29" s="1"/>
    </row>
    <row r="30" spans="1:14">
      <c r="A30" s="1"/>
      <c r="B30" s="1"/>
      <c r="C30" s="22" t="s">
        <v>56</v>
      </c>
      <c r="D30" s="28">
        <f>SUM(D3:D21,D23,D24,D27,D28)</f>
        <v>3087.1099999999997</v>
      </c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100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5202</v>
      </c>
      <c r="E33" s="30"/>
      <c r="F33" s="65"/>
      <c r="G33" s="29"/>
      <c r="H33" s="29"/>
      <c r="I33" s="29"/>
      <c r="J33" s="31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(D33+D32)-D30</f>
        <v>2214.8900000000003</v>
      </c>
      <c r="E34" s="32"/>
      <c r="F34" s="65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1"/>
      <c r="D35" s="1"/>
      <c r="E35" s="1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3"/>
      <c r="D36" s="12"/>
      <c r="E36" s="12"/>
      <c r="F36" s="61"/>
      <c r="G36" s="1"/>
      <c r="H36" s="1"/>
      <c r="I36" s="1"/>
      <c r="J36" s="18"/>
      <c r="K36" s="1"/>
      <c r="L36" s="1"/>
      <c r="M36" s="1"/>
      <c r="N36" s="1"/>
    </row>
    <row r="37" spans="1:14">
      <c r="B37" s="1"/>
      <c r="C37" s="32">
        <f>D34/4</f>
        <v>553.72250000000008</v>
      </c>
      <c r="D37" s="12"/>
      <c r="E37" s="12"/>
      <c r="F37" s="61"/>
      <c r="G37" s="12"/>
      <c r="H37" s="12"/>
      <c r="I37" s="12"/>
      <c r="J37" s="18"/>
      <c r="K37" s="1"/>
      <c r="L37" s="1"/>
      <c r="M37" s="1"/>
      <c r="N37" s="1"/>
    </row>
    <row r="38" spans="1:14">
      <c r="B38" s="1"/>
      <c r="C38" s="1"/>
      <c r="D38" s="1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1:14">
      <c r="F39" s="66"/>
    </row>
    <row r="41" spans="1:14">
      <c r="B41" s="1"/>
      <c r="C41" s="34">
        <v>300</v>
      </c>
      <c r="D41" s="12" t="s">
        <v>61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>
        <v>75</v>
      </c>
      <c r="D42" s="12" t="s">
        <v>62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1"/>
      <c r="D43" s="12" t="s">
        <v>194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4" spans="1:14">
      <c r="B44" s="1"/>
      <c r="C44" s="32">
        <f>C37-C41-C42-C43</f>
        <v>178.72250000000008</v>
      </c>
      <c r="D44" s="12" t="s">
        <v>63</v>
      </c>
      <c r="E44" s="1"/>
      <c r="F44" s="61"/>
      <c r="G44" s="1"/>
      <c r="H44" s="1"/>
      <c r="I44" s="1"/>
      <c r="J44" s="18"/>
      <c r="K44" s="1"/>
      <c r="L44" s="1"/>
      <c r="M44" s="1"/>
      <c r="N44" s="1"/>
    </row>
    <row r="46" spans="1:14">
      <c r="B46" s="1"/>
      <c r="C46" s="1"/>
      <c r="D46" s="1"/>
      <c r="E46" s="1"/>
      <c r="F46" s="65"/>
      <c r="G46" s="1"/>
      <c r="H46" s="1"/>
      <c r="I46" s="1"/>
      <c r="J46" s="18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N50"/>
  <sheetViews>
    <sheetView zoomScaleNormal="100" workbookViewId="0">
      <selection activeCell="F15" sqref="F1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990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43952</v>
      </c>
      <c r="B3" s="7" t="s">
        <v>6</v>
      </c>
      <c r="C3" s="1" t="s">
        <v>359</v>
      </c>
      <c r="D3" s="8">
        <v>1160.94</v>
      </c>
      <c r="E3" s="9"/>
      <c r="F3" s="69" t="s">
        <v>991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43952</v>
      </c>
      <c r="B4" s="7" t="s">
        <v>10</v>
      </c>
      <c r="C4" s="1" t="s">
        <v>13</v>
      </c>
      <c r="D4" s="12">
        <v>138.1</v>
      </c>
      <c r="E4" s="9"/>
      <c r="F4" s="64" t="s">
        <v>992</v>
      </c>
      <c r="G4" s="11"/>
      <c r="H4" s="11"/>
      <c r="I4" s="59"/>
      <c r="J4" s="19"/>
      <c r="K4" s="11"/>
      <c r="L4" s="11"/>
      <c r="M4" s="11"/>
      <c r="N4" s="11"/>
    </row>
    <row r="5" spans="1:14" ht="15.75">
      <c r="A5" s="51">
        <v>43952</v>
      </c>
      <c r="B5" s="7" t="s">
        <v>967</v>
      </c>
      <c r="C5" s="1" t="s">
        <v>968</v>
      </c>
      <c r="D5" s="12">
        <v>131</v>
      </c>
      <c r="E5" s="9"/>
      <c r="F5" s="64">
        <v>3164183827</v>
      </c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747</v>
      </c>
      <c r="D6" s="12">
        <v>13.99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>
        <v>43959</v>
      </c>
      <c r="B7" s="56" t="s">
        <v>303</v>
      </c>
      <c r="C7" s="1" t="s">
        <v>767</v>
      </c>
      <c r="D7" s="12">
        <v>119</v>
      </c>
      <c r="E7" s="9"/>
      <c r="F7" s="63">
        <v>1766436909</v>
      </c>
      <c r="G7" s="1"/>
      <c r="H7" s="1"/>
      <c r="I7" s="1"/>
      <c r="J7" s="18"/>
      <c r="K7" s="1"/>
      <c r="L7" s="1"/>
      <c r="M7" s="1"/>
      <c r="N7" s="1"/>
    </row>
    <row r="8" spans="1:14">
      <c r="A8" s="51">
        <v>43959</v>
      </c>
      <c r="B8" s="7" t="s">
        <v>155</v>
      </c>
      <c r="C8" s="1" t="s">
        <v>16</v>
      </c>
      <c r="D8" s="12">
        <v>70</v>
      </c>
      <c r="E8" s="12"/>
      <c r="F8" s="1" t="s">
        <v>993</v>
      </c>
      <c r="G8" s="16"/>
      <c r="H8" s="7"/>
      <c r="I8" s="7"/>
      <c r="J8" s="17"/>
      <c r="K8" s="7"/>
      <c r="L8" s="7"/>
      <c r="M8" s="7"/>
      <c r="N8" s="7"/>
    </row>
    <row r="9" spans="1:14">
      <c r="A9" s="51">
        <v>43959</v>
      </c>
      <c r="B9" s="7" t="s">
        <v>21</v>
      </c>
      <c r="C9" s="1" t="s">
        <v>23</v>
      </c>
      <c r="D9" s="12">
        <v>545.78</v>
      </c>
      <c r="E9" s="9"/>
      <c r="F9" s="65" t="s">
        <v>994</v>
      </c>
      <c r="H9" s="11"/>
      <c r="I9" s="11"/>
      <c r="J9" s="19"/>
      <c r="K9" s="11"/>
      <c r="L9" s="11"/>
      <c r="M9" s="11"/>
      <c r="N9" s="11"/>
    </row>
    <row r="10" spans="1:14">
      <c r="A10" s="51" t="s">
        <v>9</v>
      </c>
      <c r="B10" s="7" t="s">
        <v>21</v>
      </c>
      <c r="C10" s="1" t="s">
        <v>25</v>
      </c>
      <c r="D10" s="12">
        <v>30.25</v>
      </c>
      <c r="E10" s="16"/>
      <c r="F10" s="55"/>
      <c r="G10" s="11"/>
      <c r="H10" s="11"/>
      <c r="I10" s="11"/>
      <c r="J10" s="19"/>
      <c r="K10" s="11"/>
      <c r="L10" s="11"/>
      <c r="M10" s="11"/>
      <c r="N10" s="11"/>
    </row>
    <row r="11" spans="1:14">
      <c r="A11" s="51">
        <v>43959</v>
      </c>
      <c r="B11" s="7" t="s">
        <v>27</v>
      </c>
      <c r="C11" s="1" t="s">
        <v>28</v>
      </c>
      <c r="D11" s="12">
        <v>83.95</v>
      </c>
      <c r="E11" s="16"/>
      <c r="F11" s="60" t="s">
        <v>995</v>
      </c>
      <c r="H11" s="11"/>
      <c r="I11" s="11"/>
      <c r="J11" s="19"/>
      <c r="K11" s="11"/>
      <c r="L11" s="11"/>
      <c r="M11" s="11"/>
      <c r="N11" s="11"/>
    </row>
    <row r="12" spans="1:14">
      <c r="A12" s="51" t="s">
        <v>9</v>
      </c>
      <c r="B12" s="7" t="s">
        <v>27</v>
      </c>
      <c r="C12" s="1" t="s">
        <v>333</v>
      </c>
      <c r="D12" s="12">
        <v>70</v>
      </c>
      <c r="E12" s="9"/>
      <c r="F12" s="1"/>
      <c r="H12" s="11"/>
      <c r="I12" s="11"/>
      <c r="J12" s="19"/>
      <c r="K12" s="11"/>
      <c r="L12" s="11"/>
      <c r="M12" s="11"/>
      <c r="N12" s="11"/>
    </row>
    <row r="13" spans="1:14">
      <c r="A13" s="51">
        <v>43959</v>
      </c>
      <c r="B13" s="7" t="s">
        <v>31</v>
      </c>
      <c r="C13" s="1" t="s">
        <v>186</v>
      </c>
      <c r="D13" s="12">
        <v>53.1</v>
      </c>
      <c r="E13" s="9"/>
      <c r="F13" s="55" t="s">
        <v>996</v>
      </c>
      <c r="G13" s="20"/>
      <c r="H13" s="11"/>
      <c r="I13" s="11"/>
      <c r="J13" s="19"/>
      <c r="K13" s="11"/>
      <c r="L13" s="11"/>
      <c r="M13" s="11"/>
      <c r="N13" s="11"/>
    </row>
    <row r="14" spans="1:14">
      <c r="A14" s="51">
        <v>43973</v>
      </c>
      <c r="B14" s="7" t="s">
        <v>863</v>
      </c>
      <c r="C14" s="1" t="s">
        <v>864</v>
      </c>
      <c r="D14" s="12">
        <v>510</v>
      </c>
      <c r="E14" s="12"/>
      <c r="F14" s="65" t="s">
        <v>997</v>
      </c>
      <c r="G14" s="35"/>
      <c r="H14" s="1"/>
      <c r="I14" s="1"/>
      <c r="J14" s="18"/>
      <c r="K14" s="1"/>
      <c r="L14" s="1"/>
      <c r="M14" s="1"/>
      <c r="N14" s="1"/>
    </row>
    <row r="15" spans="1:14">
      <c r="A15" s="51">
        <v>43973</v>
      </c>
      <c r="B15" s="7" t="s">
        <v>367</v>
      </c>
      <c r="C15" s="1" t="s">
        <v>35</v>
      </c>
      <c r="D15" s="12">
        <v>161</v>
      </c>
      <c r="E15" s="9"/>
      <c r="F15" s="65" t="s">
        <v>998</v>
      </c>
      <c r="G15" s="7"/>
      <c r="H15" s="7"/>
      <c r="I15" s="7"/>
      <c r="J15" s="17"/>
      <c r="K15" s="7"/>
      <c r="L15" s="7"/>
      <c r="M15" s="7"/>
      <c r="N15" s="7"/>
    </row>
    <row r="16" spans="1:14">
      <c r="A16" s="51" t="s">
        <v>9</v>
      </c>
      <c r="B16" s="56" t="s">
        <v>975</v>
      </c>
      <c r="C16" s="1" t="s">
        <v>958</v>
      </c>
      <c r="D16" s="12">
        <v>0</v>
      </c>
      <c r="E16" s="9"/>
      <c r="F16" s="65"/>
      <c r="G16" s="7"/>
      <c r="H16" s="7"/>
      <c r="I16" s="7"/>
      <c r="J16" s="17"/>
      <c r="K16" s="7"/>
      <c r="L16" s="7"/>
      <c r="M16" s="7"/>
      <c r="N16" s="7"/>
    </row>
    <row r="17" spans="1:14">
      <c r="A17" s="52"/>
      <c r="B17" s="7"/>
      <c r="C17" s="1"/>
      <c r="D17" s="1"/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2"/>
      <c r="B18" s="1"/>
      <c r="C18" s="1"/>
      <c r="D18" s="12">
        <v>0</v>
      </c>
      <c r="E18" s="1"/>
      <c r="F18" s="65"/>
      <c r="G18" s="1"/>
      <c r="H18" s="68"/>
      <c r="I18" s="1"/>
      <c r="J18" s="18"/>
      <c r="K18" s="1"/>
      <c r="L18" s="1"/>
      <c r="M18" s="1"/>
      <c r="N18" s="1"/>
    </row>
    <row r="19" spans="1:14">
      <c r="A19" s="52"/>
      <c r="B19" s="1"/>
      <c r="C19" s="22" t="s">
        <v>37</v>
      </c>
      <c r="D19" s="1"/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1" t="s">
        <v>9</v>
      </c>
      <c r="B20" s="1" t="s">
        <v>45</v>
      </c>
      <c r="C20" s="1" t="s">
        <v>258</v>
      </c>
      <c r="D20" s="12">
        <v>0</v>
      </c>
      <c r="E20" s="1"/>
      <c r="F20" s="65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43958</v>
      </c>
      <c r="B21" s="1" t="s">
        <v>45</v>
      </c>
      <c r="C21" s="1" t="s">
        <v>46</v>
      </c>
      <c r="D21" s="12"/>
      <c r="E21" s="1"/>
      <c r="F21" s="63">
        <v>453961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>
        <v>43959</v>
      </c>
      <c r="B22" s="1" t="s">
        <v>48</v>
      </c>
      <c r="C22" s="1" t="s">
        <v>49</v>
      </c>
      <c r="D22" s="12">
        <f>D6+D12+14</f>
        <v>97.99</v>
      </c>
      <c r="E22" s="1"/>
      <c r="F22" s="55">
        <v>70319</v>
      </c>
      <c r="H22" s="1"/>
      <c r="I22" s="1"/>
      <c r="J22" s="18"/>
      <c r="K22" s="1"/>
      <c r="L22" s="1"/>
      <c r="M22" s="1"/>
      <c r="N22" s="1"/>
    </row>
    <row r="23" spans="1:14">
      <c r="A23" s="51">
        <v>43959</v>
      </c>
      <c r="B23" s="1" t="s">
        <v>27</v>
      </c>
      <c r="C23" s="1" t="s">
        <v>43</v>
      </c>
      <c r="D23" s="12"/>
      <c r="E23" s="1"/>
      <c r="F23" s="63" t="s">
        <v>999</v>
      </c>
      <c r="G23" s="1"/>
      <c r="H23" s="1"/>
      <c r="I23" s="1"/>
      <c r="J23" s="18"/>
      <c r="K23" s="1"/>
      <c r="L23" s="1"/>
      <c r="M23" s="1"/>
      <c r="N23" s="1"/>
    </row>
    <row r="24" spans="1:14">
      <c r="A24" s="53" t="s">
        <v>9</v>
      </c>
      <c r="B24" s="1" t="s">
        <v>51</v>
      </c>
      <c r="C24" s="1" t="s">
        <v>52</v>
      </c>
      <c r="E24" s="1"/>
      <c r="F24" s="65"/>
      <c r="G24" s="1"/>
      <c r="H24" s="1"/>
      <c r="I24" s="1"/>
      <c r="J24" s="18"/>
      <c r="K24" s="1"/>
      <c r="L24" s="48"/>
      <c r="M24" s="1"/>
      <c r="N24" s="1"/>
    </row>
    <row r="25" spans="1:14">
      <c r="A25" s="53">
        <v>43959</v>
      </c>
      <c r="B25" s="1" t="s">
        <v>51</v>
      </c>
      <c r="C25" s="1" t="s">
        <v>932</v>
      </c>
      <c r="D25">
        <v>25</v>
      </c>
      <c r="E25" s="1"/>
      <c r="F25" s="65" t="s">
        <v>1000</v>
      </c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27</v>
      </c>
      <c r="C26" s="1" t="s">
        <v>905</v>
      </c>
      <c r="D26">
        <v>0</v>
      </c>
      <c r="E26" s="1"/>
      <c r="F26" s="65"/>
      <c r="G26" s="1"/>
      <c r="H26" s="1"/>
      <c r="I26" s="1"/>
      <c r="J26" s="18"/>
      <c r="K26" s="1"/>
      <c r="L26" s="70"/>
      <c r="M26" s="1"/>
      <c r="N26" s="1"/>
    </row>
    <row r="27" spans="1:14">
      <c r="A27" s="53" t="s">
        <v>9</v>
      </c>
      <c r="B27" s="1" t="s">
        <v>38</v>
      </c>
      <c r="C27" s="1" t="s">
        <v>39</v>
      </c>
      <c r="D27" s="23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53" t="s">
        <v>9</v>
      </c>
      <c r="B28" s="1" t="s">
        <v>34</v>
      </c>
      <c r="C28" s="1" t="s">
        <v>54</v>
      </c>
      <c r="D28" s="12">
        <v>0</v>
      </c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65"/>
      <c r="G29" s="1"/>
      <c r="H29" s="1"/>
      <c r="I29" s="1"/>
      <c r="J29" s="18"/>
      <c r="K29" s="18"/>
      <c r="L29" s="1"/>
      <c r="M29" s="1"/>
      <c r="N29" s="1"/>
    </row>
    <row r="30" spans="1:14">
      <c r="A30" s="1"/>
      <c r="B30" s="1"/>
      <c r="C30" s="22" t="s">
        <v>56</v>
      </c>
      <c r="D30" s="28">
        <f>SUM(D3:D21,D23,D24,D27,D28,D25,D26)</f>
        <v>3112.1099999999997</v>
      </c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100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5202</v>
      </c>
      <c r="E33" s="30"/>
      <c r="F33" s="65"/>
      <c r="G33" s="29"/>
      <c r="H33" s="29"/>
      <c r="I33" s="29"/>
      <c r="J33" s="31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(D33+D32)-D30</f>
        <v>2189.8900000000003</v>
      </c>
      <c r="E34" s="32"/>
      <c r="F34" s="65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1"/>
      <c r="D35" s="1"/>
      <c r="E35" s="1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3"/>
      <c r="D36" s="12"/>
      <c r="E36" s="12"/>
      <c r="F36" s="61"/>
      <c r="G36" s="1"/>
      <c r="H36" s="1"/>
      <c r="I36" s="1"/>
      <c r="J36" s="18"/>
      <c r="K36" s="1"/>
      <c r="L36" s="1"/>
      <c r="M36" s="1"/>
      <c r="N36" s="1"/>
    </row>
    <row r="37" spans="1:14">
      <c r="B37" s="1"/>
      <c r="C37" s="32">
        <f>D34/4</f>
        <v>547.47250000000008</v>
      </c>
      <c r="D37" s="12"/>
      <c r="E37" s="12"/>
      <c r="F37" s="61"/>
      <c r="G37" s="12"/>
      <c r="H37" s="12"/>
      <c r="I37" s="12"/>
      <c r="J37" s="18"/>
      <c r="K37" s="1"/>
      <c r="L37" s="1"/>
      <c r="M37" s="1"/>
      <c r="N37" s="1"/>
    </row>
    <row r="38" spans="1:14">
      <c r="B38" s="1"/>
      <c r="C38" s="1"/>
      <c r="D38" s="1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1:14">
      <c r="F39" s="66"/>
    </row>
    <row r="41" spans="1:14">
      <c r="B41" s="1"/>
      <c r="C41" s="34">
        <v>300</v>
      </c>
      <c r="D41" s="12" t="s">
        <v>61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>
        <v>75</v>
      </c>
      <c r="D42" s="12" t="s">
        <v>62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1"/>
      <c r="D43" s="12" t="s">
        <v>194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4" spans="1:14">
      <c r="B44" s="1"/>
      <c r="C44" s="32">
        <f>C37-C41-C42-C43</f>
        <v>172.47250000000008</v>
      </c>
      <c r="D44" s="12" t="s">
        <v>63</v>
      </c>
      <c r="E44" s="1"/>
      <c r="F44" s="61"/>
      <c r="G44" s="1"/>
      <c r="H44" s="1"/>
      <c r="I44" s="1"/>
      <c r="J44" s="18"/>
      <c r="K44" s="1"/>
      <c r="L44" s="1"/>
      <c r="M44" s="1"/>
      <c r="N44" s="1"/>
    </row>
    <row r="46" spans="1:14">
      <c r="B46" s="1"/>
      <c r="C46" s="1"/>
      <c r="D46" s="1"/>
      <c r="E46" s="1"/>
      <c r="F46" s="65"/>
      <c r="G46" s="1"/>
      <c r="H46" s="1"/>
      <c r="I46" s="1"/>
      <c r="J46" s="18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N50"/>
  <sheetViews>
    <sheetView zoomScaleNormal="100" workbookViewId="0">
      <selection activeCell="F26" sqref="F2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1001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43980</v>
      </c>
      <c r="B3" s="7" t="s">
        <v>6</v>
      </c>
      <c r="C3" s="1" t="s">
        <v>359</v>
      </c>
      <c r="D3" s="8">
        <v>1160.94</v>
      </c>
      <c r="E3" s="9"/>
      <c r="F3" s="69" t="s">
        <v>1002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43980</v>
      </c>
      <c r="B4" s="7" t="s">
        <v>10</v>
      </c>
      <c r="C4" s="1" t="s">
        <v>13</v>
      </c>
      <c r="D4" s="12">
        <v>138.1</v>
      </c>
      <c r="E4" s="9"/>
      <c r="F4" s="64" t="s">
        <v>1003</v>
      </c>
      <c r="G4" s="11"/>
      <c r="H4" s="11"/>
      <c r="I4" s="59"/>
      <c r="J4" s="19"/>
      <c r="K4" s="11"/>
      <c r="L4" s="11"/>
      <c r="M4" s="11"/>
      <c r="N4" s="11"/>
    </row>
    <row r="5" spans="1:14" ht="15.75">
      <c r="A5" s="51">
        <v>43980</v>
      </c>
      <c r="B5" s="7" t="s">
        <v>967</v>
      </c>
      <c r="C5" s="1" t="s">
        <v>1004</v>
      </c>
      <c r="D5" s="12">
        <v>122.22</v>
      </c>
      <c r="E5" s="9"/>
      <c r="F5" s="1" t="s">
        <v>1005</v>
      </c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747</v>
      </c>
      <c r="D6" s="12">
        <v>13.99</v>
      </c>
      <c r="E6" s="9"/>
      <c r="F6" s="63"/>
      <c r="G6" s="16"/>
      <c r="H6" s="7"/>
      <c r="I6" s="7"/>
      <c r="J6" s="17"/>
      <c r="K6" s="7"/>
      <c r="L6" s="7"/>
      <c r="M6" s="7"/>
      <c r="N6" s="7"/>
    </row>
    <row r="7" spans="1:14">
      <c r="A7" s="51">
        <v>43987</v>
      </c>
      <c r="B7" s="56" t="s">
        <v>303</v>
      </c>
      <c r="C7" s="1" t="s">
        <v>767</v>
      </c>
      <c r="D7" s="12">
        <v>119</v>
      </c>
      <c r="E7" s="9"/>
      <c r="F7" s="63">
        <v>4674274291</v>
      </c>
      <c r="G7" s="1"/>
      <c r="H7" s="1"/>
      <c r="I7" s="1"/>
      <c r="J7" s="18"/>
      <c r="K7" s="1"/>
      <c r="L7" s="1"/>
      <c r="M7" s="1"/>
      <c r="N7" s="1"/>
    </row>
    <row r="8" spans="1:14">
      <c r="A8" s="51">
        <v>43987</v>
      </c>
      <c r="B8" s="7" t="s">
        <v>155</v>
      </c>
      <c r="C8" s="1" t="s">
        <v>16</v>
      </c>
      <c r="D8" s="12">
        <v>70</v>
      </c>
      <c r="E8" s="12"/>
      <c r="F8" s="72" t="s">
        <v>1006</v>
      </c>
      <c r="G8" s="16"/>
      <c r="H8" s="7"/>
      <c r="I8" s="7"/>
      <c r="J8" s="17"/>
      <c r="K8" s="7"/>
      <c r="L8" s="7"/>
      <c r="M8" s="7"/>
      <c r="N8" s="7"/>
    </row>
    <row r="9" spans="1:14">
      <c r="A9" s="51">
        <v>43993</v>
      </c>
      <c r="B9" s="7" t="s">
        <v>21</v>
      </c>
      <c r="C9" s="1" t="s">
        <v>23</v>
      </c>
      <c r="D9" s="12">
        <v>545.78</v>
      </c>
      <c r="E9" s="9"/>
      <c r="F9" s="65" t="s">
        <v>1007</v>
      </c>
      <c r="H9" s="11"/>
      <c r="I9" s="11"/>
      <c r="J9" s="19"/>
      <c r="K9" s="11"/>
      <c r="L9" s="11"/>
      <c r="M9" s="11"/>
      <c r="N9" s="11"/>
    </row>
    <row r="10" spans="1:14">
      <c r="A10" s="51">
        <v>43993</v>
      </c>
      <c r="B10" s="7" t="s">
        <v>21</v>
      </c>
      <c r="C10" s="1" t="s">
        <v>25</v>
      </c>
      <c r="D10" s="12">
        <v>30.25</v>
      </c>
      <c r="E10" s="16"/>
      <c r="F10" s="55" t="s">
        <v>1008</v>
      </c>
      <c r="G10" s="11"/>
      <c r="H10" s="11"/>
      <c r="I10" s="11"/>
      <c r="J10" s="19"/>
      <c r="K10" s="11"/>
      <c r="L10" s="11"/>
      <c r="M10" s="11"/>
      <c r="N10" s="11"/>
    </row>
    <row r="11" spans="1:14">
      <c r="A11" s="51">
        <v>43993</v>
      </c>
      <c r="B11" s="7" t="s">
        <v>27</v>
      </c>
      <c r="C11" s="1" t="s">
        <v>28</v>
      </c>
      <c r="D11" s="12">
        <v>83.95</v>
      </c>
      <c r="E11" s="16"/>
      <c r="F11" s="60" t="s">
        <v>1009</v>
      </c>
      <c r="H11" s="11"/>
      <c r="I11" s="11"/>
      <c r="J11" s="19"/>
      <c r="K11" s="11"/>
      <c r="L11" s="11"/>
      <c r="M11" s="11"/>
      <c r="N11" s="11"/>
    </row>
    <row r="12" spans="1:14">
      <c r="A12" s="51" t="s">
        <v>9</v>
      </c>
      <c r="B12" s="7" t="s">
        <v>27</v>
      </c>
      <c r="C12" s="1" t="s">
        <v>333</v>
      </c>
      <c r="D12" s="12">
        <v>70</v>
      </c>
      <c r="E12" s="9"/>
      <c r="F12" s="1"/>
      <c r="H12" s="11"/>
      <c r="I12" s="11"/>
      <c r="J12" s="19"/>
      <c r="K12" s="11"/>
      <c r="L12" s="11"/>
      <c r="M12" s="11"/>
      <c r="N12" s="11"/>
    </row>
    <row r="13" spans="1:14">
      <c r="A13" s="51">
        <v>43993</v>
      </c>
      <c r="B13" s="7" t="s">
        <v>31</v>
      </c>
      <c r="C13" s="1" t="s">
        <v>186</v>
      </c>
      <c r="D13" s="12">
        <v>53.1</v>
      </c>
      <c r="E13" s="9"/>
      <c r="F13" s="55" t="s">
        <v>1010</v>
      </c>
      <c r="G13" s="20"/>
      <c r="H13" s="11"/>
      <c r="I13" s="11"/>
      <c r="J13" s="19"/>
      <c r="K13" s="11"/>
      <c r="L13" s="11"/>
      <c r="M13" s="11"/>
      <c r="N13" s="11"/>
    </row>
    <row r="14" spans="1:14">
      <c r="A14" s="51">
        <v>44001</v>
      </c>
      <c r="B14" s="7" t="s">
        <v>863</v>
      </c>
      <c r="C14" s="1" t="s">
        <v>864</v>
      </c>
      <c r="D14" s="12">
        <v>510</v>
      </c>
      <c r="E14" s="12"/>
      <c r="F14" s="65" t="s">
        <v>1011</v>
      </c>
      <c r="G14" s="35"/>
      <c r="H14" s="1"/>
      <c r="I14" s="1"/>
      <c r="J14" s="18"/>
      <c r="K14" s="1"/>
      <c r="L14" s="1"/>
      <c r="M14" s="1"/>
      <c r="N14" s="1"/>
    </row>
    <row r="15" spans="1:14">
      <c r="A15" s="51">
        <v>44001</v>
      </c>
      <c r="B15" s="7" t="s">
        <v>367</v>
      </c>
      <c r="C15" s="1" t="s">
        <v>35</v>
      </c>
      <c r="D15" s="12">
        <v>161</v>
      </c>
      <c r="E15" s="9"/>
      <c r="F15" s="65" t="s">
        <v>1012</v>
      </c>
      <c r="G15" s="7"/>
      <c r="H15" s="7"/>
      <c r="I15" s="7"/>
      <c r="J15" s="17"/>
      <c r="K15" s="7"/>
      <c r="L15" s="7"/>
      <c r="M15" s="7"/>
      <c r="N15" s="7"/>
    </row>
    <row r="16" spans="1:14">
      <c r="A16" s="51" t="s">
        <v>9</v>
      </c>
      <c r="B16" s="56" t="s">
        <v>975</v>
      </c>
      <c r="C16" s="1" t="s">
        <v>958</v>
      </c>
      <c r="D16" s="12">
        <v>0</v>
      </c>
      <c r="E16" s="9"/>
      <c r="F16" s="65"/>
      <c r="G16" s="7"/>
      <c r="H16" s="7"/>
      <c r="I16" s="7"/>
      <c r="J16" s="17"/>
      <c r="K16" s="7"/>
      <c r="L16" s="7"/>
      <c r="M16" s="7"/>
      <c r="N16" s="7"/>
    </row>
    <row r="17" spans="1:14">
      <c r="A17" s="52"/>
      <c r="B17" s="7"/>
      <c r="C17" s="1"/>
      <c r="D17" s="1"/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2"/>
      <c r="B18" s="1"/>
      <c r="C18" s="1"/>
      <c r="D18" s="12">
        <v>0</v>
      </c>
      <c r="E18" s="1"/>
      <c r="F18" s="65"/>
      <c r="G18" s="1"/>
      <c r="H18" s="68"/>
      <c r="I18" s="1"/>
      <c r="J18" s="18"/>
      <c r="K18" s="1"/>
      <c r="L18" s="1"/>
      <c r="M18" s="1"/>
      <c r="N18" s="1"/>
    </row>
    <row r="19" spans="1:14">
      <c r="A19" s="52"/>
      <c r="B19" s="1"/>
      <c r="C19" s="22" t="s">
        <v>37</v>
      </c>
      <c r="D19" s="1"/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1" t="s">
        <v>9</v>
      </c>
      <c r="B20" s="1" t="s">
        <v>45</v>
      </c>
      <c r="C20" s="1" t="s">
        <v>258</v>
      </c>
      <c r="D20" s="12">
        <v>0</v>
      </c>
      <c r="E20" s="1"/>
      <c r="F20" s="65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43987</v>
      </c>
      <c r="B21" s="1" t="s">
        <v>45</v>
      </c>
      <c r="C21" s="1" t="s">
        <v>46</v>
      </c>
      <c r="D21" s="12"/>
      <c r="E21" s="1"/>
      <c r="F21" s="63">
        <v>180219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>
        <v>43993</v>
      </c>
      <c r="B22" s="1" t="s">
        <v>48</v>
      </c>
      <c r="C22" s="1" t="s">
        <v>49</v>
      </c>
      <c r="D22" s="12">
        <f>D6+D12+14</f>
        <v>97.99</v>
      </c>
      <c r="E22" s="1"/>
      <c r="F22" s="55">
        <v>719153</v>
      </c>
      <c r="H22" s="1"/>
      <c r="I22" s="1"/>
      <c r="J22" s="18"/>
      <c r="K22" s="1"/>
      <c r="L22" s="1"/>
      <c r="M22" s="1"/>
      <c r="N22" s="1"/>
    </row>
    <row r="23" spans="1:14">
      <c r="A23" s="51">
        <v>44001</v>
      </c>
      <c r="B23" s="1" t="s">
        <v>27</v>
      </c>
      <c r="C23" s="1" t="s">
        <v>43</v>
      </c>
      <c r="D23" s="12"/>
      <c r="E23" s="1"/>
      <c r="F23" s="63" t="s">
        <v>1013</v>
      </c>
      <c r="G23" s="1"/>
      <c r="H23" s="1"/>
      <c r="I23" s="1"/>
      <c r="J23" s="18"/>
      <c r="K23" s="1"/>
      <c r="L23" s="1"/>
      <c r="M23" s="1"/>
      <c r="N23" s="1"/>
    </row>
    <row r="24" spans="1:14">
      <c r="A24" s="53" t="s">
        <v>9</v>
      </c>
      <c r="B24" s="1" t="s">
        <v>51</v>
      </c>
      <c r="C24" s="1" t="s">
        <v>52</v>
      </c>
      <c r="E24" s="1"/>
      <c r="F24" s="65"/>
      <c r="G24" s="1"/>
      <c r="H24" s="1"/>
      <c r="I24" s="1"/>
      <c r="J24" s="18"/>
      <c r="K24" s="1"/>
      <c r="L24" s="48"/>
      <c r="M24" s="1"/>
      <c r="N24" s="1"/>
    </row>
    <row r="25" spans="1:14">
      <c r="A25" s="53">
        <v>43993</v>
      </c>
      <c r="B25" s="1" t="s">
        <v>51</v>
      </c>
      <c r="C25" s="1" t="s">
        <v>932</v>
      </c>
      <c r="D25">
        <v>25</v>
      </c>
      <c r="E25" s="1"/>
      <c r="F25" s="65" t="s">
        <v>1014</v>
      </c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27</v>
      </c>
      <c r="C26" s="1" t="s">
        <v>905</v>
      </c>
      <c r="D26">
        <v>0</v>
      </c>
      <c r="E26" s="1"/>
      <c r="F26" s="65"/>
      <c r="G26" s="1"/>
      <c r="H26" s="1"/>
      <c r="I26" s="1"/>
      <c r="J26" s="18"/>
      <c r="K26" s="1"/>
      <c r="L26" s="70"/>
      <c r="M26" s="1"/>
      <c r="N26" s="1"/>
    </row>
    <row r="27" spans="1:14">
      <c r="A27" s="53" t="s">
        <v>9</v>
      </c>
      <c r="B27" s="1" t="s">
        <v>38</v>
      </c>
      <c r="C27" s="1" t="s">
        <v>39</v>
      </c>
      <c r="D27" s="23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53" t="s">
        <v>9</v>
      </c>
      <c r="B28" s="1" t="s">
        <v>34</v>
      </c>
      <c r="C28" s="1" t="s">
        <v>54</v>
      </c>
      <c r="D28" s="12">
        <v>0</v>
      </c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65"/>
      <c r="G29" s="1"/>
      <c r="H29" s="1"/>
      <c r="I29" s="1"/>
      <c r="J29" s="18"/>
      <c r="K29" s="18"/>
      <c r="L29" s="1"/>
      <c r="M29" s="1"/>
      <c r="N29" s="1"/>
    </row>
    <row r="30" spans="1:14">
      <c r="A30" s="1"/>
      <c r="B30" s="1"/>
      <c r="C30" s="22" t="s">
        <v>56</v>
      </c>
      <c r="D30" s="28">
        <f>SUM(D3:D21,D23,D24,D27,D28,D25,D26)</f>
        <v>3103.3299999999995</v>
      </c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A32" s="6"/>
      <c r="B32" s="29"/>
      <c r="C32" s="29" t="s">
        <v>58</v>
      </c>
      <c r="D32" s="30">
        <v>100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6"/>
      <c r="B33" s="29"/>
      <c r="C33" s="29" t="s">
        <v>59</v>
      </c>
      <c r="D33" s="1">
        <v>5202</v>
      </c>
      <c r="E33" s="30"/>
      <c r="F33" s="65"/>
      <c r="G33" s="29"/>
      <c r="H33" s="29"/>
      <c r="I33" s="29"/>
      <c r="J33" s="31"/>
      <c r="K33" s="29"/>
      <c r="L33" s="29"/>
      <c r="M33" s="29"/>
      <c r="N33" s="29"/>
    </row>
    <row r="34" spans="1:14">
      <c r="A34" s="1"/>
      <c r="B34" s="1"/>
      <c r="C34" s="1" t="s">
        <v>60</v>
      </c>
      <c r="D34" s="32">
        <f>(D33+D32)-D30</f>
        <v>2198.6700000000005</v>
      </c>
      <c r="E34" s="32"/>
      <c r="F34" s="65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1"/>
      <c r="D35" s="1"/>
      <c r="E35" s="1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3"/>
      <c r="D36" s="12"/>
      <c r="E36" s="12"/>
      <c r="F36" s="61"/>
      <c r="G36" s="1"/>
      <c r="H36" s="1"/>
      <c r="I36" s="1"/>
      <c r="J36" s="18"/>
      <c r="K36" s="1"/>
      <c r="L36" s="1"/>
      <c r="M36" s="1"/>
      <c r="N36" s="1"/>
    </row>
    <row r="37" spans="1:14">
      <c r="B37" s="1"/>
      <c r="C37" s="32">
        <f>D34/4</f>
        <v>549.66750000000013</v>
      </c>
      <c r="D37" s="12"/>
      <c r="E37" s="12"/>
      <c r="F37" s="61"/>
      <c r="G37" s="12"/>
      <c r="H37" s="12"/>
      <c r="I37" s="12"/>
      <c r="J37" s="18"/>
      <c r="K37" s="1"/>
      <c r="L37" s="1"/>
      <c r="M37" s="1"/>
      <c r="N37" s="1"/>
    </row>
    <row r="38" spans="1:14">
      <c r="B38" s="1"/>
      <c r="C38" s="1"/>
      <c r="D38" s="1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1:14">
      <c r="F39" s="66"/>
    </row>
    <row r="41" spans="1:14">
      <c r="B41" s="1"/>
      <c r="C41" s="34">
        <v>300</v>
      </c>
      <c r="D41" s="12" t="s">
        <v>61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>
        <v>75</v>
      </c>
      <c r="D42" s="12" t="s">
        <v>62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1"/>
      <c r="D43" s="12" t="s">
        <v>194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4" spans="1:14">
      <c r="B44" s="1"/>
      <c r="C44" s="32">
        <f>C37-C41-C42-C43</f>
        <v>174.66750000000013</v>
      </c>
      <c r="D44" s="12" t="s">
        <v>63</v>
      </c>
      <c r="E44" s="1"/>
      <c r="F44" s="61"/>
      <c r="G44" s="1"/>
      <c r="H44" s="1"/>
      <c r="I44" s="1"/>
      <c r="J44" s="18"/>
      <c r="K44" s="1"/>
      <c r="L44" s="1"/>
      <c r="M44" s="1"/>
      <c r="N44" s="1"/>
    </row>
    <row r="46" spans="1:14">
      <c r="B46" s="1"/>
      <c r="C46" s="1"/>
      <c r="D46" s="1"/>
      <c r="E46" s="1"/>
      <c r="F46" s="65"/>
      <c r="G46" s="1"/>
      <c r="H46" s="1"/>
      <c r="I46" s="1"/>
      <c r="J46" s="18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N49"/>
  <sheetViews>
    <sheetView zoomScaleNormal="100" workbookViewId="0">
      <selection sqref="A1:D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1015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44011</v>
      </c>
      <c r="B3" s="7" t="s">
        <v>6</v>
      </c>
      <c r="C3" s="1" t="s">
        <v>359</v>
      </c>
      <c r="D3" s="8">
        <v>1160.94</v>
      </c>
      <c r="E3" s="9"/>
      <c r="F3" s="69" t="s">
        <v>1016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44011</v>
      </c>
      <c r="B4" s="7" t="s">
        <v>10</v>
      </c>
      <c r="C4" s="1" t="s">
        <v>13</v>
      </c>
      <c r="D4" s="12">
        <v>138.1</v>
      </c>
      <c r="E4" s="9"/>
      <c r="F4" s="64" t="s">
        <v>1017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44015</v>
      </c>
      <c r="B6" s="56" t="s">
        <v>303</v>
      </c>
      <c r="C6" s="1" t="s">
        <v>767</v>
      </c>
      <c r="D6" s="12">
        <v>119</v>
      </c>
      <c r="E6" s="9"/>
      <c r="F6" s="63">
        <v>1181855790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44022</v>
      </c>
      <c r="B7" s="7" t="s">
        <v>155</v>
      </c>
      <c r="C7" s="1" t="s">
        <v>16</v>
      </c>
      <c r="D7" s="12">
        <v>70</v>
      </c>
      <c r="E7" s="12"/>
      <c r="F7" s="1" t="s">
        <v>1018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44022</v>
      </c>
      <c r="B8" s="7" t="s">
        <v>21</v>
      </c>
      <c r="C8" s="1" t="s">
        <v>23</v>
      </c>
      <c r="D8" s="12">
        <v>545.78</v>
      </c>
      <c r="E8" s="9"/>
      <c r="F8" s="65" t="s">
        <v>1019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55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44029</v>
      </c>
      <c r="B10" s="7" t="s">
        <v>27</v>
      </c>
      <c r="C10" s="1" t="s">
        <v>28</v>
      </c>
      <c r="D10" s="12">
        <v>83.95</v>
      </c>
      <c r="E10" s="16"/>
      <c r="F10" s="60" t="s">
        <v>1020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1"/>
      <c r="H11" s="11"/>
      <c r="I11" s="11"/>
      <c r="J11" s="19"/>
      <c r="K11" s="11"/>
      <c r="L11" s="11"/>
      <c r="M11" s="11"/>
      <c r="N11" s="11"/>
    </row>
    <row r="12" spans="1:14">
      <c r="A12" s="51">
        <v>44029</v>
      </c>
      <c r="B12" s="7" t="s">
        <v>31</v>
      </c>
      <c r="C12" s="1" t="s">
        <v>186</v>
      </c>
      <c r="D12" s="12">
        <v>53.1</v>
      </c>
      <c r="E12" s="9"/>
      <c r="F12" s="55" t="s">
        <v>1021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44029</v>
      </c>
      <c r="B13" s="7" t="s">
        <v>863</v>
      </c>
      <c r="C13" s="1" t="s">
        <v>864</v>
      </c>
      <c r="D13" s="12">
        <v>510</v>
      </c>
      <c r="E13" s="12"/>
      <c r="F13" s="65" t="s">
        <v>1022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44029</v>
      </c>
      <c r="B14" s="7" t="s">
        <v>367</v>
      </c>
      <c r="C14" s="1" t="s">
        <v>35</v>
      </c>
      <c r="D14" s="12">
        <v>161</v>
      </c>
      <c r="E14" s="9"/>
      <c r="F14" s="65" t="s">
        <v>1023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56" t="s">
        <v>975</v>
      </c>
      <c r="C15" s="1" t="s">
        <v>958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44018</v>
      </c>
      <c r="B20" s="1" t="s">
        <v>45</v>
      </c>
      <c r="C20" s="1" t="s">
        <v>1024</v>
      </c>
      <c r="D20" s="12"/>
      <c r="E20" s="1"/>
      <c r="F20" s="63" t="s">
        <v>1025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44025</v>
      </c>
      <c r="B21" s="1" t="s">
        <v>48</v>
      </c>
      <c r="C21" s="1" t="s">
        <v>49</v>
      </c>
      <c r="D21" s="12">
        <f>D5+D11+14</f>
        <v>101.99</v>
      </c>
      <c r="E21" s="1"/>
      <c r="F21" s="55">
        <v>363786</v>
      </c>
      <c r="H21" s="1"/>
      <c r="I21" s="1"/>
      <c r="J21" s="18"/>
      <c r="K21" s="1"/>
      <c r="L21" s="1"/>
      <c r="M21" s="1"/>
      <c r="N21" s="1"/>
    </row>
    <row r="22" spans="1:14">
      <c r="A22" s="51">
        <v>44029</v>
      </c>
      <c r="B22" s="1" t="s">
        <v>27</v>
      </c>
      <c r="C22" s="1" t="s">
        <v>43</v>
      </c>
      <c r="D22" s="12"/>
      <c r="E22" s="1"/>
      <c r="F22" s="63" t="s">
        <v>1026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44029</v>
      </c>
      <c r="B24" s="1" t="s">
        <v>51</v>
      </c>
      <c r="C24" s="1" t="s">
        <v>932</v>
      </c>
      <c r="D24">
        <v>25</v>
      </c>
      <c r="E24" s="1"/>
      <c r="F24" s="65" t="s">
        <v>1027</v>
      </c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2985.1099999999997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2316.8900000000003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579.22250000000008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204.22250000000008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N49"/>
  <sheetViews>
    <sheetView zoomScaleNormal="100" workbookViewId="0">
      <selection sqref="A1:D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1028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44043</v>
      </c>
      <c r="B3" s="7" t="s">
        <v>6</v>
      </c>
      <c r="C3" s="1" t="s">
        <v>359</v>
      </c>
      <c r="D3" s="8">
        <v>1160.94</v>
      </c>
      <c r="E3" s="9"/>
      <c r="F3" s="73" t="s">
        <v>1029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44043</v>
      </c>
      <c r="B4" s="7" t="s">
        <v>10</v>
      </c>
      <c r="C4" s="1" t="s">
        <v>13</v>
      </c>
      <c r="D4" s="12">
        <v>138.1</v>
      </c>
      <c r="E4" s="9"/>
      <c r="F4" s="64" t="s">
        <v>1030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44043</v>
      </c>
      <c r="B6" s="56" t="s">
        <v>303</v>
      </c>
      <c r="C6" s="1" t="s">
        <v>767</v>
      </c>
      <c r="D6" s="12">
        <v>119</v>
      </c>
      <c r="E6" s="9"/>
      <c r="F6" s="63">
        <v>4888998287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44055</v>
      </c>
      <c r="B7" s="7" t="s">
        <v>155</v>
      </c>
      <c r="C7" s="1" t="s">
        <v>16</v>
      </c>
      <c r="D7" s="12">
        <v>70</v>
      </c>
      <c r="E7" s="12"/>
      <c r="F7" s="61" t="s">
        <v>1031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44057</v>
      </c>
      <c r="B8" s="7" t="s">
        <v>21</v>
      </c>
      <c r="C8" s="1" t="s">
        <v>23</v>
      </c>
      <c r="D8" s="12">
        <v>545.78</v>
      </c>
      <c r="E8" s="9"/>
      <c r="F8" s="65" t="s">
        <v>1032</v>
      </c>
      <c r="H8" s="11"/>
      <c r="I8" s="11"/>
      <c r="J8" s="19"/>
      <c r="K8" s="11"/>
      <c r="L8" s="11"/>
      <c r="M8" s="11"/>
      <c r="N8" s="11"/>
    </row>
    <row r="9" spans="1:14">
      <c r="A9" s="51">
        <v>44056</v>
      </c>
      <c r="B9" s="7" t="s">
        <v>21</v>
      </c>
      <c r="C9" s="1" t="s">
        <v>25</v>
      </c>
      <c r="D9" s="12">
        <v>30.25</v>
      </c>
      <c r="E9" s="16"/>
      <c r="F9" s="74" t="s">
        <v>1033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44057</v>
      </c>
      <c r="B10" s="7" t="s">
        <v>27</v>
      </c>
      <c r="C10" s="1" t="s">
        <v>28</v>
      </c>
      <c r="D10" s="12">
        <v>83.95</v>
      </c>
      <c r="E10" s="16"/>
      <c r="F10" s="75" t="s">
        <v>1034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44057</v>
      </c>
      <c r="B12" s="7" t="s">
        <v>31</v>
      </c>
      <c r="C12" s="1" t="s">
        <v>186</v>
      </c>
      <c r="D12" s="12">
        <v>53.1</v>
      </c>
      <c r="E12" s="9"/>
      <c r="F12" s="74" t="s">
        <v>1035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44067</v>
      </c>
      <c r="B13" s="7" t="s">
        <v>863</v>
      </c>
      <c r="C13" s="1" t="s">
        <v>864</v>
      </c>
      <c r="D13" s="12">
        <v>510</v>
      </c>
      <c r="E13" s="12"/>
      <c r="F13" s="65" t="s">
        <v>1036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44071</v>
      </c>
      <c r="B14" s="7" t="s">
        <v>367</v>
      </c>
      <c r="C14" s="1" t="s">
        <v>35</v>
      </c>
      <c r="D14" s="12">
        <v>161</v>
      </c>
      <c r="E14" s="9"/>
      <c r="F14" s="65" t="s">
        <v>1037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>
        <v>44070</v>
      </c>
      <c r="B15" s="56" t="s">
        <v>975</v>
      </c>
      <c r="C15" s="1" t="s">
        <v>958</v>
      </c>
      <c r="D15" s="12">
        <v>0</v>
      </c>
      <c r="E15" s="9"/>
      <c r="F15" s="65" t="s">
        <v>1038</v>
      </c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44050</v>
      </c>
      <c r="B20" s="1" t="s">
        <v>45</v>
      </c>
      <c r="C20" s="1" t="s">
        <v>1024</v>
      </c>
      <c r="D20" s="12"/>
      <c r="E20" s="1"/>
      <c r="F20" s="63">
        <v>657739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44057</v>
      </c>
      <c r="B21" s="1" t="s">
        <v>48</v>
      </c>
      <c r="C21" s="1" t="s">
        <v>49</v>
      </c>
      <c r="D21" s="12">
        <f>D5+D11+14</f>
        <v>101.99</v>
      </c>
      <c r="E21" s="1"/>
      <c r="F21" s="74">
        <v>771795</v>
      </c>
      <c r="H21" s="1"/>
      <c r="I21" s="1"/>
      <c r="J21" s="18"/>
      <c r="K21" s="1"/>
      <c r="L21" s="1"/>
      <c r="M21" s="1"/>
      <c r="N21" s="1"/>
    </row>
    <row r="22" spans="1:14">
      <c r="A22" s="51">
        <v>44057</v>
      </c>
      <c r="B22" s="1" t="s">
        <v>27</v>
      </c>
      <c r="C22" s="1" t="s">
        <v>43</v>
      </c>
      <c r="D22" s="12"/>
      <c r="E22" s="1"/>
      <c r="F22" s="63" t="s">
        <v>1039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44057</v>
      </c>
      <c r="B24" s="1" t="s">
        <v>51</v>
      </c>
      <c r="C24" s="1" t="s">
        <v>932</v>
      </c>
      <c r="D24">
        <v>25</v>
      </c>
      <c r="E24" s="1"/>
      <c r="F24" s="65" t="s">
        <v>1040</v>
      </c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2985.1099999999997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2316.8900000000003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579.22250000000008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204.22250000000008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N49"/>
  <sheetViews>
    <sheetView zoomScaleNormal="100" workbookViewId="0">
      <selection activeCell="G20" sqref="G20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1041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44072</v>
      </c>
      <c r="B3" s="7" t="s">
        <v>6</v>
      </c>
      <c r="C3" s="1" t="s">
        <v>359</v>
      </c>
      <c r="D3" s="8">
        <v>1160.94</v>
      </c>
      <c r="E3" s="9"/>
      <c r="F3" s="73" t="s">
        <v>1042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44072</v>
      </c>
      <c r="B4" s="7" t="s">
        <v>10</v>
      </c>
      <c r="C4" s="1" t="s">
        <v>13</v>
      </c>
      <c r="D4" s="12">
        <v>138.1</v>
      </c>
      <c r="E4" s="9"/>
      <c r="F4" s="64" t="s">
        <v>1043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44085</v>
      </c>
      <c r="B6" s="56" t="s">
        <v>303</v>
      </c>
      <c r="C6" s="1" t="s">
        <v>767</v>
      </c>
      <c r="D6" s="12">
        <v>119</v>
      </c>
      <c r="E6" s="9"/>
      <c r="F6" s="63">
        <v>2600729179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44085</v>
      </c>
      <c r="B7" s="7" t="s">
        <v>155</v>
      </c>
      <c r="C7" s="1" t="s">
        <v>16</v>
      </c>
      <c r="D7" s="12">
        <v>70</v>
      </c>
      <c r="E7" s="12"/>
      <c r="F7" s="61" t="s">
        <v>1044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44085</v>
      </c>
      <c r="B8" s="7" t="s">
        <v>21</v>
      </c>
      <c r="C8" s="1" t="s">
        <v>23</v>
      </c>
      <c r="D8" s="12">
        <v>545.78</v>
      </c>
      <c r="E8" s="9"/>
      <c r="F8" s="65" t="s">
        <v>1045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74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44085</v>
      </c>
      <c r="B10" s="7" t="s">
        <v>27</v>
      </c>
      <c r="C10" s="1" t="s">
        <v>28</v>
      </c>
      <c r="D10" s="12">
        <v>83.95</v>
      </c>
      <c r="E10" s="16"/>
      <c r="F10" s="75" t="s">
        <v>1046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44085</v>
      </c>
      <c r="B12" s="7" t="s">
        <v>31</v>
      </c>
      <c r="C12" s="1" t="s">
        <v>186</v>
      </c>
      <c r="D12" s="12">
        <v>53.1</v>
      </c>
      <c r="E12" s="9"/>
      <c r="F12" s="74" t="s">
        <v>1047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44099</v>
      </c>
      <c r="B13" s="7" t="s">
        <v>863</v>
      </c>
      <c r="C13" s="1" t="s">
        <v>864</v>
      </c>
      <c r="D13" s="12">
        <v>510</v>
      </c>
      <c r="E13" s="12"/>
      <c r="F13" s="65" t="s">
        <v>1048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44099</v>
      </c>
      <c r="B14" s="7" t="s">
        <v>367</v>
      </c>
      <c r="C14" s="1" t="s">
        <v>35</v>
      </c>
      <c r="D14" s="12">
        <v>161</v>
      </c>
      <c r="E14" s="9"/>
      <c r="F14" s="65" t="s">
        <v>1049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56" t="s">
        <v>1050</v>
      </c>
      <c r="C15" s="1" t="s">
        <v>958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44082</v>
      </c>
      <c r="B20" s="1" t="s">
        <v>45</v>
      </c>
      <c r="C20" s="1" t="s">
        <v>1024</v>
      </c>
      <c r="D20" s="12"/>
      <c r="E20" s="1"/>
      <c r="F20" s="63">
        <v>420626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44085</v>
      </c>
      <c r="B21" s="1" t="s">
        <v>48</v>
      </c>
      <c r="C21" s="1" t="s">
        <v>49</v>
      </c>
      <c r="D21" s="12">
        <f>D5+D11+14</f>
        <v>101.99</v>
      </c>
      <c r="E21" s="1"/>
      <c r="F21" s="74">
        <v>589619</v>
      </c>
      <c r="H21" s="1"/>
      <c r="I21" s="1"/>
      <c r="J21" s="18"/>
      <c r="K21" s="1"/>
      <c r="L21" s="1"/>
      <c r="M21" s="1"/>
      <c r="N21" s="1"/>
    </row>
    <row r="22" spans="1:14">
      <c r="A22" s="53">
        <v>44085</v>
      </c>
      <c r="B22" s="1" t="s">
        <v>27</v>
      </c>
      <c r="C22" s="1" t="s">
        <v>43</v>
      </c>
      <c r="D22" s="12"/>
      <c r="E22" s="1"/>
      <c r="F22" s="63"/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44085</v>
      </c>
      <c r="B24" s="1" t="s">
        <v>51</v>
      </c>
      <c r="C24" s="1" t="s">
        <v>932</v>
      </c>
      <c r="D24">
        <v>25</v>
      </c>
      <c r="E24" s="1"/>
      <c r="F24" s="65" t="s">
        <v>1051</v>
      </c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2985.1099999999997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2316.8900000000003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579.22250000000008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204.22250000000008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49"/>
  <sheetViews>
    <sheetView zoomScaleNormal="100" workbookViewId="0">
      <selection sqref="A1:D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1052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44104</v>
      </c>
      <c r="B3" s="7" t="s">
        <v>6</v>
      </c>
      <c r="C3" s="1" t="s">
        <v>359</v>
      </c>
      <c r="D3" s="8">
        <v>1160.94</v>
      </c>
      <c r="E3" s="9"/>
      <c r="F3" s="73" t="s">
        <v>1053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44104</v>
      </c>
      <c r="B4" s="7" t="s">
        <v>10</v>
      </c>
      <c r="C4" s="1" t="s">
        <v>13</v>
      </c>
      <c r="D4" s="12">
        <v>138.1</v>
      </c>
      <c r="E4" s="9"/>
      <c r="F4" s="64" t="s">
        <v>1054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44113</v>
      </c>
      <c r="B6" s="56" t="s">
        <v>303</v>
      </c>
      <c r="C6" s="1" t="s">
        <v>767</v>
      </c>
      <c r="D6" s="12">
        <v>119</v>
      </c>
      <c r="E6" s="9"/>
      <c r="F6" s="63">
        <v>5008422851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44113</v>
      </c>
      <c r="B7" s="7" t="s">
        <v>155</v>
      </c>
      <c r="C7" s="1" t="s">
        <v>16</v>
      </c>
      <c r="D7" s="12">
        <v>70</v>
      </c>
      <c r="E7" s="12"/>
      <c r="F7" s="61" t="s">
        <v>1055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44113</v>
      </c>
      <c r="B8" s="7" t="s">
        <v>21</v>
      </c>
      <c r="C8" s="1" t="s">
        <v>23</v>
      </c>
      <c r="D8" s="12">
        <v>545.78</v>
      </c>
      <c r="E8" s="9"/>
      <c r="F8" s="65" t="s">
        <v>1056</v>
      </c>
      <c r="H8" s="11"/>
      <c r="I8" s="11"/>
      <c r="J8" s="19"/>
      <c r="K8" s="11"/>
      <c r="L8" s="11"/>
      <c r="M8" s="11"/>
      <c r="N8" s="11"/>
    </row>
    <row r="9" spans="1:14">
      <c r="A9" s="51">
        <v>44113</v>
      </c>
      <c r="B9" s="7" t="s">
        <v>21</v>
      </c>
      <c r="C9" s="1" t="s">
        <v>25</v>
      </c>
      <c r="D9" s="12">
        <v>30.25</v>
      </c>
      <c r="E9" s="16"/>
      <c r="F9" s="55" t="s">
        <v>1057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44113</v>
      </c>
      <c r="B10" s="7" t="s">
        <v>27</v>
      </c>
      <c r="C10" s="1" t="s">
        <v>28</v>
      </c>
      <c r="D10" s="12">
        <v>83.95</v>
      </c>
      <c r="E10" s="16"/>
      <c r="F10" s="75" t="s">
        <v>1058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44113</v>
      </c>
      <c r="B12" s="7" t="s">
        <v>31</v>
      </c>
      <c r="C12" s="1" t="s">
        <v>186</v>
      </c>
      <c r="D12" s="12">
        <v>53.1</v>
      </c>
      <c r="E12" s="9"/>
      <c r="F12" s="55" t="s">
        <v>1059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44127</v>
      </c>
      <c r="B13" s="7" t="s">
        <v>863</v>
      </c>
      <c r="C13" s="1" t="s">
        <v>864</v>
      </c>
      <c r="D13" s="12">
        <v>510</v>
      </c>
      <c r="E13" s="12"/>
      <c r="F13" s="65" t="s">
        <v>1060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44127</v>
      </c>
      <c r="B14" s="7" t="s">
        <v>367</v>
      </c>
      <c r="C14" s="1" t="s">
        <v>35</v>
      </c>
      <c r="D14" s="12">
        <v>161</v>
      </c>
      <c r="E14" s="9"/>
      <c r="F14" s="65" t="s">
        <v>1061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56" t="s">
        <v>1050</v>
      </c>
      <c r="C15" s="1" t="s">
        <v>958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44113</v>
      </c>
      <c r="B20" s="1" t="s">
        <v>45</v>
      </c>
      <c r="C20" s="1" t="s">
        <v>1024</v>
      </c>
      <c r="D20" s="12"/>
      <c r="E20" s="1"/>
      <c r="F20" s="63">
        <v>420439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44113</v>
      </c>
      <c r="B21" s="1" t="s">
        <v>48</v>
      </c>
      <c r="C21" s="1" t="s">
        <v>49</v>
      </c>
      <c r="D21" s="12">
        <f>D5+D11+14</f>
        <v>101.99</v>
      </c>
      <c r="E21" s="1"/>
      <c r="F21" s="74">
        <v>1983</v>
      </c>
      <c r="H21" s="1"/>
      <c r="I21" s="1"/>
      <c r="J21" s="18"/>
      <c r="K21" s="1"/>
      <c r="L21" s="1"/>
      <c r="M21" s="1"/>
      <c r="N21" s="1"/>
    </row>
    <row r="22" spans="1:14">
      <c r="A22" s="53">
        <v>44113</v>
      </c>
      <c r="B22" s="1" t="s">
        <v>27</v>
      </c>
      <c r="C22" s="1" t="s">
        <v>43</v>
      </c>
      <c r="D22" s="12"/>
      <c r="E22" s="1"/>
      <c r="F22" s="63" t="s">
        <v>1062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44113</v>
      </c>
      <c r="B24" s="1" t="s">
        <v>51</v>
      </c>
      <c r="C24" s="1" t="s">
        <v>932</v>
      </c>
      <c r="D24">
        <v>25</v>
      </c>
      <c r="E24" s="1"/>
      <c r="F24" s="65" t="s">
        <v>1063</v>
      </c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2985.1099999999997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2316.8900000000003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579.22250000000008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204.22250000000008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N49"/>
  <sheetViews>
    <sheetView zoomScaleNormal="100" workbookViewId="0">
      <selection sqref="A1:D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1064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44136</v>
      </c>
      <c r="B3" s="7" t="s">
        <v>6</v>
      </c>
      <c r="C3" s="1" t="s">
        <v>359</v>
      </c>
      <c r="D3" s="8">
        <v>1160.94</v>
      </c>
      <c r="E3" s="9"/>
      <c r="F3" s="73" t="s">
        <v>1065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44136</v>
      </c>
      <c r="B4" s="7" t="s">
        <v>10</v>
      </c>
      <c r="C4" s="1" t="s">
        <v>13</v>
      </c>
      <c r="D4" s="12">
        <v>138.1</v>
      </c>
      <c r="E4" s="9"/>
      <c r="F4" s="64" t="s">
        <v>1066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44141</v>
      </c>
      <c r="B6" s="56" t="s">
        <v>303</v>
      </c>
      <c r="C6" s="1" t="s">
        <v>767</v>
      </c>
      <c r="D6" s="12">
        <v>119</v>
      </c>
      <c r="E6" s="9"/>
      <c r="F6" s="63">
        <v>3715936318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44146</v>
      </c>
      <c r="B7" s="7" t="s">
        <v>155</v>
      </c>
      <c r="C7" s="1" t="s">
        <v>16</v>
      </c>
      <c r="D7" s="12">
        <v>70</v>
      </c>
      <c r="E7" s="12"/>
      <c r="F7" s="61" t="s">
        <v>1067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44146</v>
      </c>
      <c r="B8" s="7" t="s">
        <v>21</v>
      </c>
      <c r="C8" s="1" t="s">
        <v>23</v>
      </c>
      <c r="D8" s="12">
        <v>545.78</v>
      </c>
      <c r="E8" s="9"/>
      <c r="F8" s="65" t="s">
        <v>1068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55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44146</v>
      </c>
      <c r="B10" s="7" t="s">
        <v>27</v>
      </c>
      <c r="C10" s="1" t="s">
        <v>28</v>
      </c>
      <c r="D10" s="12">
        <v>83.95</v>
      </c>
      <c r="E10" s="16"/>
      <c r="F10" s="75" t="s">
        <v>1069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44146</v>
      </c>
      <c r="B12" s="7" t="s">
        <v>31</v>
      </c>
      <c r="C12" s="1" t="s">
        <v>186</v>
      </c>
      <c r="D12" s="12">
        <v>53.1</v>
      </c>
      <c r="E12" s="9"/>
      <c r="F12" s="55" t="s">
        <v>1070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44158</v>
      </c>
      <c r="B13" s="7" t="s">
        <v>863</v>
      </c>
      <c r="C13" s="1" t="s">
        <v>864</v>
      </c>
      <c r="D13" s="12">
        <v>510</v>
      </c>
      <c r="E13" s="12"/>
      <c r="F13" s="65" t="s">
        <v>1071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44158</v>
      </c>
      <c r="B14" s="7" t="s">
        <v>367</v>
      </c>
      <c r="C14" s="1" t="s">
        <v>35</v>
      </c>
      <c r="D14" s="12">
        <v>161</v>
      </c>
      <c r="E14" s="9"/>
      <c r="F14" s="65" t="s">
        <v>1072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56" t="s">
        <v>1050</v>
      </c>
      <c r="C15" s="1" t="s">
        <v>958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44141</v>
      </c>
      <c r="B20" s="1" t="s">
        <v>45</v>
      </c>
      <c r="C20" s="1" t="s">
        <v>1024</v>
      </c>
      <c r="D20" s="12"/>
      <c r="E20" s="1"/>
      <c r="F20" s="63">
        <v>737184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44146</v>
      </c>
      <c r="B21" s="1" t="s">
        <v>48</v>
      </c>
      <c r="C21" s="1" t="s">
        <v>49</v>
      </c>
      <c r="D21" s="12">
        <f>D5+D11+14</f>
        <v>101.99</v>
      </c>
      <c r="E21" s="1"/>
      <c r="F21" s="74">
        <v>101864</v>
      </c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27</v>
      </c>
      <c r="C22" s="1" t="s">
        <v>43</v>
      </c>
      <c r="D22" s="12"/>
      <c r="E22" s="1"/>
      <c r="F22" s="63"/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2960.1099999999997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2341.8900000000003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585.47250000000008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210.47250000000008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N49"/>
  <sheetViews>
    <sheetView zoomScaleNormal="100" workbookViewId="0">
      <selection sqref="A1:D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1073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44166</v>
      </c>
      <c r="B3" s="7" t="s">
        <v>6</v>
      </c>
      <c r="C3" s="1" t="s">
        <v>359</v>
      </c>
      <c r="D3" s="8">
        <v>1160.94</v>
      </c>
      <c r="E3" s="9"/>
      <c r="F3" s="73" t="s">
        <v>1074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44166</v>
      </c>
      <c r="B4" s="7" t="s">
        <v>10</v>
      </c>
      <c r="C4" s="1" t="s">
        <v>13</v>
      </c>
      <c r="D4" s="12">
        <v>138.1</v>
      </c>
      <c r="E4" s="9"/>
      <c r="F4" s="64" t="s">
        <v>1075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44169</v>
      </c>
      <c r="B6" s="56" t="s">
        <v>303</v>
      </c>
      <c r="C6" s="1" t="s">
        <v>767</v>
      </c>
      <c r="D6" s="12">
        <v>119</v>
      </c>
      <c r="E6" s="9"/>
      <c r="F6" s="63">
        <v>4823663159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44169</v>
      </c>
      <c r="B7" s="7" t="s">
        <v>155</v>
      </c>
      <c r="C7" s="1" t="s">
        <v>16</v>
      </c>
      <c r="D7" s="12">
        <v>70</v>
      </c>
      <c r="E7" s="12"/>
      <c r="F7" s="61" t="s">
        <v>1076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44169</v>
      </c>
      <c r="B8" s="7" t="s">
        <v>21</v>
      </c>
      <c r="C8" s="1" t="s">
        <v>23</v>
      </c>
      <c r="D8" s="12">
        <v>545.78</v>
      </c>
      <c r="E8" s="9"/>
      <c r="F8" s="65" t="s">
        <v>1077</v>
      </c>
      <c r="H8" s="11"/>
      <c r="I8" s="11"/>
      <c r="J8" s="19"/>
      <c r="K8" s="11"/>
      <c r="L8" s="11"/>
      <c r="M8" s="11"/>
      <c r="N8" s="11"/>
    </row>
    <row r="9" spans="1:14">
      <c r="A9" s="51">
        <v>44169</v>
      </c>
      <c r="B9" s="7" t="s">
        <v>21</v>
      </c>
      <c r="C9" s="1" t="s">
        <v>25</v>
      </c>
      <c r="D9" s="12">
        <v>30.25</v>
      </c>
      <c r="E9" s="16"/>
      <c r="F9" s="55" t="s">
        <v>1078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44169</v>
      </c>
      <c r="B10" s="7" t="s">
        <v>27</v>
      </c>
      <c r="C10" s="1" t="s">
        <v>28</v>
      </c>
      <c r="D10" s="12">
        <v>83.95</v>
      </c>
      <c r="E10" s="16"/>
      <c r="F10" s="60" t="s">
        <v>1079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44169</v>
      </c>
      <c r="B12" s="7" t="s">
        <v>31</v>
      </c>
      <c r="C12" s="1" t="s">
        <v>186</v>
      </c>
      <c r="D12" s="12">
        <v>53.1</v>
      </c>
      <c r="E12" s="9"/>
      <c r="F12" s="55" t="s">
        <v>1080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44188</v>
      </c>
      <c r="B13" s="7" t="s">
        <v>863</v>
      </c>
      <c r="C13" s="1" t="s">
        <v>864</v>
      </c>
      <c r="D13" s="12">
        <v>510</v>
      </c>
      <c r="E13" s="12"/>
      <c r="F13" s="65" t="s">
        <v>1081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44188</v>
      </c>
      <c r="B14" s="7" t="s">
        <v>367</v>
      </c>
      <c r="C14" s="1" t="s">
        <v>35</v>
      </c>
      <c r="D14" s="12">
        <v>161</v>
      </c>
      <c r="E14" s="9"/>
      <c r="F14" s="65" t="s">
        <v>1082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56" t="s">
        <v>1050</v>
      </c>
      <c r="C15" s="1" t="s">
        <v>958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44169</v>
      </c>
      <c r="B20" s="1" t="s">
        <v>45</v>
      </c>
      <c r="C20" s="1" t="s">
        <v>1024</v>
      </c>
      <c r="D20" s="12"/>
      <c r="E20" s="1"/>
      <c r="F20" s="63">
        <v>347811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44169</v>
      </c>
      <c r="B21" s="1" t="s">
        <v>48</v>
      </c>
      <c r="C21" s="1" t="s">
        <v>49</v>
      </c>
      <c r="D21" s="12">
        <f>D5+D11+14</f>
        <v>101.99</v>
      </c>
      <c r="E21" s="1"/>
      <c r="F21" s="74">
        <v>873637</v>
      </c>
      <c r="H21" s="1"/>
      <c r="I21" s="1"/>
      <c r="J21" s="18"/>
      <c r="K21" s="1"/>
      <c r="L21" s="1"/>
      <c r="M21" s="1"/>
      <c r="N21" s="1"/>
    </row>
    <row r="22" spans="1:14">
      <c r="A22" s="53">
        <v>44169</v>
      </c>
      <c r="B22" s="1" t="s">
        <v>27</v>
      </c>
      <c r="C22" s="1" t="s">
        <v>43</v>
      </c>
      <c r="D22" s="12"/>
      <c r="E22" s="1"/>
      <c r="F22" s="63" t="s">
        <v>1083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2960.1099999999997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2341.8900000000003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585.47250000000008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210.47250000000008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N49"/>
  <sheetViews>
    <sheetView zoomScaleNormal="100" workbookViewId="0">
      <selection sqref="A1:D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1084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44196</v>
      </c>
      <c r="B3" s="7" t="s">
        <v>6</v>
      </c>
      <c r="C3" s="1" t="s">
        <v>359</v>
      </c>
      <c r="D3" s="8">
        <v>1160.94</v>
      </c>
      <c r="E3" s="9"/>
      <c r="F3" s="73" t="s">
        <v>1085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44196</v>
      </c>
      <c r="B4" s="7" t="s">
        <v>10</v>
      </c>
      <c r="C4" s="1" t="s">
        <v>13</v>
      </c>
      <c r="D4" s="12">
        <v>138.1</v>
      </c>
      <c r="E4" s="9"/>
      <c r="F4" s="64" t="s">
        <v>1086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44196</v>
      </c>
      <c r="B6" s="56" t="s">
        <v>303</v>
      </c>
      <c r="C6" s="1" t="s">
        <v>767</v>
      </c>
      <c r="D6" s="12">
        <v>119</v>
      </c>
      <c r="E6" s="9"/>
      <c r="F6" s="63">
        <v>1030658649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44198</v>
      </c>
      <c r="B7" s="7" t="s">
        <v>155</v>
      </c>
      <c r="C7" s="1" t="s">
        <v>16</v>
      </c>
      <c r="D7" s="12">
        <v>70</v>
      </c>
      <c r="E7" s="12"/>
      <c r="F7" s="61" t="s">
        <v>1087</v>
      </c>
      <c r="G7" s="16"/>
      <c r="H7" s="7"/>
      <c r="I7" s="7"/>
      <c r="J7" s="17"/>
      <c r="K7" s="7"/>
      <c r="L7" s="7"/>
      <c r="M7" s="7"/>
      <c r="N7" s="7"/>
    </row>
    <row r="8" spans="1:14">
      <c r="A8" s="51">
        <v>44211</v>
      </c>
      <c r="B8" s="7" t="s">
        <v>21</v>
      </c>
      <c r="C8" s="1" t="s">
        <v>23</v>
      </c>
      <c r="D8" s="12">
        <v>545.78</v>
      </c>
      <c r="E8" s="9"/>
      <c r="F8" s="65" t="s">
        <v>1088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55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44211</v>
      </c>
      <c r="B10" s="7" t="s">
        <v>27</v>
      </c>
      <c r="C10" s="1" t="s">
        <v>28</v>
      </c>
      <c r="D10" s="12">
        <v>83.95</v>
      </c>
      <c r="E10" s="16"/>
      <c r="F10" s="60" t="s">
        <v>1089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44211</v>
      </c>
      <c r="B12" s="7" t="s">
        <v>31</v>
      </c>
      <c r="C12" s="1" t="s">
        <v>186</v>
      </c>
      <c r="D12" s="12">
        <v>53.1</v>
      </c>
      <c r="E12" s="9"/>
      <c r="F12" s="55">
        <v>851323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44211</v>
      </c>
      <c r="B13" s="7" t="s">
        <v>863</v>
      </c>
      <c r="C13" s="1" t="s">
        <v>864</v>
      </c>
      <c r="D13" s="12">
        <v>510</v>
      </c>
      <c r="E13" s="12"/>
      <c r="F13" s="65" t="s">
        <v>1090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44211</v>
      </c>
      <c r="B14" s="7" t="s">
        <v>367</v>
      </c>
      <c r="C14" s="1" t="s">
        <v>35</v>
      </c>
      <c r="D14" s="12">
        <v>161</v>
      </c>
      <c r="E14" s="9"/>
      <c r="F14" s="65" t="s">
        <v>1091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56" t="s">
        <v>1050</v>
      </c>
      <c r="C15" s="1" t="s">
        <v>958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44196</v>
      </c>
      <c r="B20" s="1" t="s">
        <v>45</v>
      </c>
      <c r="C20" s="1" t="s">
        <v>1024</v>
      </c>
      <c r="D20" s="12"/>
      <c r="E20" s="1"/>
      <c r="F20" s="63" t="s">
        <v>1092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44196</v>
      </c>
      <c r="B21" s="1" t="s">
        <v>48</v>
      </c>
      <c r="C21" s="1" t="s">
        <v>49</v>
      </c>
      <c r="D21" s="12">
        <f>D5+D11+14</f>
        <v>101.99</v>
      </c>
      <c r="E21" s="1"/>
      <c r="F21" s="74" t="s">
        <v>1093</v>
      </c>
      <c r="H21" s="1"/>
      <c r="I21" s="1"/>
      <c r="J21" s="18"/>
      <c r="K21" s="1"/>
      <c r="L21" s="1"/>
      <c r="M21" s="1"/>
      <c r="N21" s="1"/>
    </row>
    <row r="22" spans="1:14">
      <c r="A22" s="53">
        <v>44211</v>
      </c>
      <c r="B22" s="1" t="s">
        <v>27</v>
      </c>
      <c r="C22" s="1" t="s">
        <v>43</v>
      </c>
      <c r="D22" s="12"/>
      <c r="E22" s="1"/>
      <c r="F22" s="63" t="s">
        <v>1094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>
        <v>44211</v>
      </c>
      <c r="B26" s="1" t="s">
        <v>38</v>
      </c>
      <c r="C26" s="1" t="s">
        <v>39</v>
      </c>
      <c r="D26" s="23">
        <v>0</v>
      </c>
      <c r="E26" s="1"/>
      <c r="F26" s="65" t="s">
        <v>1095</v>
      </c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2960.1099999999997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2341.8900000000003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585.47250000000008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210.47250000000008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N49"/>
  <sheetViews>
    <sheetView zoomScaleNormal="100" workbookViewId="0">
      <selection activeCell="G12" sqref="G1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4" t="s">
        <v>1096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44225</v>
      </c>
      <c r="B3" s="7" t="s">
        <v>6</v>
      </c>
      <c r="C3" s="1" t="s">
        <v>359</v>
      </c>
      <c r="D3" s="8">
        <v>1160.94</v>
      </c>
      <c r="E3" s="9"/>
      <c r="F3" s="73" t="s">
        <v>1097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44225</v>
      </c>
      <c r="B4" s="7" t="s">
        <v>10</v>
      </c>
      <c r="C4" s="1" t="s">
        <v>13</v>
      </c>
      <c r="D4" s="12">
        <v>138.1</v>
      </c>
      <c r="E4" s="9"/>
      <c r="F4" s="64" t="s">
        <v>1098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44238</v>
      </c>
      <c r="B6" s="56" t="s">
        <v>303</v>
      </c>
      <c r="C6" s="1" t="s">
        <v>767</v>
      </c>
      <c r="D6" s="12">
        <v>119</v>
      </c>
      <c r="E6" s="9"/>
      <c r="F6" s="76">
        <v>4643363756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44239</v>
      </c>
      <c r="B7" s="7" t="s">
        <v>155</v>
      </c>
      <c r="C7" s="1" t="s">
        <v>16</v>
      </c>
      <c r="D7" s="12">
        <v>70</v>
      </c>
      <c r="E7" s="12"/>
      <c r="F7" s="16" t="s">
        <v>1101</v>
      </c>
      <c r="H7" s="7"/>
      <c r="I7" s="7"/>
      <c r="J7" s="17"/>
      <c r="K7" s="7"/>
      <c r="L7" s="7"/>
      <c r="M7" s="7"/>
      <c r="N7" s="7"/>
    </row>
    <row r="8" spans="1:14">
      <c r="A8" s="51">
        <v>44239</v>
      </c>
      <c r="B8" s="7" t="s">
        <v>21</v>
      </c>
      <c r="C8" s="1" t="s">
        <v>23</v>
      </c>
      <c r="D8" s="12">
        <v>545.78</v>
      </c>
      <c r="E8" s="9"/>
      <c r="F8" s="65" t="s">
        <v>1103</v>
      </c>
      <c r="H8" s="11"/>
      <c r="I8" s="11"/>
      <c r="J8" s="19"/>
      <c r="K8" s="11"/>
      <c r="L8" s="11"/>
      <c r="M8" s="11"/>
      <c r="N8" s="11"/>
    </row>
    <row r="9" spans="1:14">
      <c r="A9" s="51">
        <v>44239</v>
      </c>
      <c r="B9" s="7" t="s">
        <v>21</v>
      </c>
      <c r="C9" s="1" t="s">
        <v>25</v>
      </c>
      <c r="D9" s="12">
        <v>30.25</v>
      </c>
      <c r="E9" s="16"/>
      <c r="F9" s="76" t="s">
        <v>1099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44239</v>
      </c>
      <c r="B10" s="7" t="s">
        <v>27</v>
      </c>
      <c r="C10" s="1" t="s">
        <v>28</v>
      </c>
      <c r="D10" s="12">
        <v>83.95</v>
      </c>
      <c r="E10" s="16"/>
      <c r="F10" t="s">
        <v>1102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44239</v>
      </c>
      <c r="B12" s="7" t="s">
        <v>31</v>
      </c>
      <c r="C12" s="1" t="s">
        <v>186</v>
      </c>
      <c r="D12" s="12">
        <v>53.1</v>
      </c>
      <c r="E12" s="9"/>
      <c r="F12" s="76" t="s">
        <v>1100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44239</v>
      </c>
      <c r="B13" s="7" t="s">
        <v>863</v>
      </c>
      <c r="C13" s="1" t="s">
        <v>864</v>
      </c>
      <c r="D13" s="12">
        <v>510</v>
      </c>
      <c r="E13" s="12"/>
      <c r="F13" s="65" t="s">
        <v>1104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44253</v>
      </c>
      <c r="B14" s="7" t="s">
        <v>367</v>
      </c>
      <c r="C14" s="1" t="s">
        <v>35</v>
      </c>
      <c r="D14" s="12">
        <v>161</v>
      </c>
      <c r="E14" s="9"/>
      <c r="F14" s="65" t="s">
        <v>1107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>
        <v>44253</v>
      </c>
      <c r="B15" s="56" t="s">
        <v>1050</v>
      </c>
      <c r="C15" s="1" t="s">
        <v>1109</v>
      </c>
      <c r="D15" s="12">
        <v>0</v>
      </c>
      <c r="E15" s="9"/>
      <c r="F15" s="65" t="s">
        <v>1108</v>
      </c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44225</v>
      </c>
      <c r="B20" s="1" t="s">
        <v>45</v>
      </c>
      <c r="C20" s="1" t="s">
        <v>1024</v>
      </c>
      <c r="D20" s="12"/>
      <c r="E20" s="1"/>
      <c r="F20" s="63">
        <v>188931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44239</v>
      </c>
      <c r="B21" s="1" t="s">
        <v>48</v>
      </c>
      <c r="C21" s="1" t="s">
        <v>49</v>
      </c>
      <c r="D21" s="12">
        <f>D5+D11+14</f>
        <v>101.99</v>
      </c>
      <c r="E21" s="1"/>
      <c r="F21" s="74">
        <v>570175</v>
      </c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27</v>
      </c>
      <c r="C22" s="1" t="s">
        <v>43</v>
      </c>
      <c r="D22" s="12"/>
      <c r="E22" s="1"/>
      <c r="F22" s="63"/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2960.1099999999997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2341.8900000000003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585.47250000000008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210.47250000000008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N49"/>
  <sheetViews>
    <sheetView zoomScaleNormal="100" workbookViewId="0">
      <selection activeCell="I10" sqref="I10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5" t="s">
        <v>1105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44253</v>
      </c>
      <c r="B3" s="7" t="s">
        <v>6</v>
      </c>
      <c r="C3" s="1" t="s">
        <v>359</v>
      </c>
      <c r="D3" s="8">
        <v>1160.94</v>
      </c>
      <c r="E3" s="9"/>
      <c r="F3" s="73" t="s">
        <v>1110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44253</v>
      </c>
      <c r="B4" s="7" t="s">
        <v>10</v>
      </c>
      <c r="C4" s="1" t="s">
        <v>13</v>
      </c>
      <c r="D4" s="12">
        <v>138.1</v>
      </c>
      <c r="E4" s="9"/>
      <c r="F4" s="64" t="s">
        <v>1111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44267</v>
      </c>
      <c r="B6" s="56" t="s">
        <v>303</v>
      </c>
      <c r="C6" s="1" t="s">
        <v>767</v>
      </c>
      <c r="D6" s="12">
        <v>119</v>
      </c>
      <c r="E6" s="9"/>
      <c r="F6" s="76">
        <v>1352180030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44267</v>
      </c>
      <c r="B7" s="7" t="s">
        <v>155</v>
      </c>
      <c r="C7" s="1" t="s">
        <v>16</v>
      </c>
      <c r="D7" s="12">
        <v>76</v>
      </c>
      <c r="E7" s="12"/>
      <c r="F7" s="16" t="s">
        <v>1113</v>
      </c>
      <c r="H7" s="7"/>
      <c r="I7" s="7"/>
      <c r="J7" s="17"/>
      <c r="K7" s="7"/>
      <c r="L7" s="7"/>
      <c r="M7" s="7"/>
      <c r="N7" s="7"/>
    </row>
    <row r="8" spans="1:14">
      <c r="A8" s="51">
        <v>44267</v>
      </c>
      <c r="B8" s="7" t="s">
        <v>21</v>
      </c>
      <c r="C8" s="1" t="s">
        <v>23</v>
      </c>
      <c r="D8" s="12">
        <v>545.78</v>
      </c>
      <c r="E8" s="9"/>
      <c r="F8" s="65" t="s">
        <v>1114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76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44267</v>
      </c>
      <c r="B10" s="7" t="s">
        <v>27</v>
      </c>
      <c r="C10" s="1" t="s">
        <v>28</v>
      </c>
      <c r="D10" s="12">
        <v>83.95</v>
      </c>
      <c r="E10" s="16"/>
      <c r="F10" t="s">
        <v>1112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44267</v>
      </c>
      <c r="B12" s="7" t="s">
        <v>31</v>
      </c>
      <c r="C12" s="1" t="s">
        <v>186</v>
      </c>
      <c r="D12" s="12">
        <v>53.1</v>
      </c>
      <c r="E12" s="9"/>
      <c r="F12" s="76" t="s">
        <v>1115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44279</v>
      </c>
      <c r="B13" s="7" t="s">
        <v>863</v>
      </c>
      <c r="C13" s="1" t="s">
        <v>864</v>
      </c>
      <c r="D13" s="12">
        <v>510</v>
      </c>
      <c r="E13" s="12"/>
      <c r="F13" s="65" t="s">
        <v>1117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44281</v>
      </c>
      <c r="B14" s="7" t="s">
        <v>367</v>
      </c>
      <c r="C14" s="1" t="s">
        <v>35</v>
      </c>
      <c r="D14" s="12">
        <v>161</v>
      </c>
      <c r="E14" s="9"/>
      <c r="F14" s="65" t="s">
        <v>1118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77" t="s">
        <v>1106</v>
      </c>
      <c r="C15" s="1" t="s">
        <v>1109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44263</v>
      </c>
      <c r="B20" s="1" t="s">
        <v>45</v>
      </c>
      <c r="C20" s="1" t="s">
        <v>1024</v>
      </c>
      <c r="D20" s="12"/>
      <c r="E20" s="1"/>
      <c r="F20" s="63">
        <v>422544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44267</v>
      </c>
      <c r="B21" s="1" t="s">
        <v>48</v>
      </c>
      <c r="C21" s="1" t="s">
        <v>49</v>
      </c>
      <c r="D21" s="12">
        <f>D5+D11+14</f>
        <v>101.99</v>
      </c>
      <c r="E21" s="1"/>
      <c r="F21" s="74"/>
      <c r="H21" s="1"/>
      <c r="I21" s="1"/>
      <c r="J21" s="18"/>
      <c r="K21" s="1"/>
      <c r="L21" s="1"/>
      <c r="M21" s="1"/>
      <c r="N21" s="1"/>
    </row>
    <row r="22" spans="1:14">
      <c r="A22" s="53">
        <v>44267</v>
      </c>
      <c r="B22" s="1" t="s">
        <v>27</v>
      </c>
      <c r="C22" s="1" t="s">
        <v>43</v>
      </c>
      <c r="D22" s="12"/>
      <c r="E22" s="1"/>
      <c r="F22" s="63" t="s">
        <v>1116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2966.1099999999997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2335.8900000000003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583.97250000000008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208.97250000000008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CF5E-1DD6-4C10-8307-F6037E91824D}">
  <dimension ref="A1:N49"/>
  <sheetViews>
    <sheetView workbookViewId="0">
      <selection activeCell="D3" sqref="D3:D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5" t="s">
        <v>1119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44283</v>
      </c>
      <c r="B3" s="7" t="s">
        <v>6</v>
      </c>
      <c r="C3" s="1" t="s">
        <v>359</v>
      </c>
      <c r="D3" s="8">
        <v>1160.94</v>
      </c>
      <c r="E3" s="9"/>
      <c r="F3" s="73" t="s">
        <v>1120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44283</v>
      </c>
      <c r="B4" s="7" t="s">
        <v>10</v>
      </c>
      <c r="C4" s="1" t="s">
        <v>13</v>
      </c>
      <c r="D4" s="12">
        <v>138.1</v>
      </c>
      <c r="E4" s="9"/>
      <c r="F4" s="64" t="s">
        <v>1121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44295</v>
      </c>
      <c r="B6" s="56" t="s">
        <v>303</v>
      </c>
      <c r="C6" s="1" t="s">
        <v>767</v>
      </c>
      <c r="D6" s="12">
        <v>119</v>
      </c>
      <c r="E6" s="9"/>
      <c r="F6" s="76">
        <v>2960708684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44295</v>
      </c>
      <c r="B7" s="7" t="s">
        <v>155</v>
      </c>
      <c r="C7" s="1" t="s">
        <v>16</v>
      </c>
      <c r="D7" s="12">
        <v>76</v>
      </c>
      <c r="E7" s="12"/>
      <c r="F7" s="16" t="s">
        <v>1123</v>
      </c>
      <c r="H7" s="7"/>
      <c r="I7" s="7"/>
      <c r="J7" s="17"/>
      <c r="K7" s="7"/>
      <c r="L7" s="7"/>
      <c r="M7" s="7"/>
      <c r="N7" s="7"/>
    </row>
    <row r="8" spans="1:14">
      <c r="A8" s="51">
        <v>44295</v>
      </c>
      <c r="B8" s="7" t="s">
        <v>21</v>
      </c>
      <c r="C8" s="1" t="s">
        <v>23</v>
      </c>
      <c r="D8" s="12">
        <v>545.78</v>
      </c>
      <c r="E8" s="9"/>
      <c r="F8" s="65" t="s">
        <v>1125</v>
      </c>
      <c r="H8" s="11"/>
      <c r="I8" s="11"/>
      <c r="J8" s="19"/>
      <c r="K8" s="11"/>
      <c r="L8" s="11"/>
      <c r="M8" s="11"/>
      <c r="N8" s="11"/>
    </row>
    <row r="9" spans="1:14">
      <c r="A9" s="51">
        <v>44295</v>
      </c>
      <c r="B9" s="7" t="s">
        <v>21</v>
      </c>
      <c r="C9" s="1" t="s">
        <v>25</v>
      </c>
      <c r="D9" s="12">
        <v>30.25</v>
      </c>
      <c r="E9" s="16"/>
      <c r="F9" s="76" t="s">
        <v>1126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44295</v>
      </c>
      <c r="B10" s="7" t="s">
        <v>27</v>
      </c>
      <c r="C10" s="1" t="s">
        <v>28</v>
      </c>
      <c r="D10" s="12">
        <v>83.95</v>
      </c>
      <c r="E10" s="16"/>
      <c r="F10" t="s">
        <v>1124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44295</v>
      </c>
      <c r="B12" s="7" t="s">
        <v>31</v>
      </c>
      <c r="C12" s="1" t="s">
        <v>186</v>
      </c>
      <c r="D12" s="12">
        <v>53.1</v>
      </c>
      <c r="E12" s="9"/>
      <c r="F12" s="76" t="s">
        <v>1127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44309</v>
      </c>
      <c r="B13" s="7" t="s">
        <v>863</v>
      </c>
      <c r="C13" s="1" t="s">
        <v>864</v>
      </c>
      <c r="D13" s="12">
        <v>510</v>
      </c>
      <c r="E13" s="12"/>
      <c r="F13" s="65" t="s">
        <v>1129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44309</v>
      </c>
      <c r="B14" s="7" t="s">
        <v>367</v>
      </c>
      <c r="C14" s="1" t="s">
        <v>35</v>
      </c>
      <c r="D14" s="12">
        <v>161</v>
      </c>
      <c r="E14" s="9"/>
      <c r="F14" s="65" t="s">
        <v>1130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77" t="s">
        <v>1106</v>
      </c>
      <c r="C15" s="1" t="s">
        <v>1109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44295</v>
      </c>
      <c r="B20" s="1" t="s">
        <v>45</v>
      </c>
      <c r="C20" s="1" t="s">
        <v>1024</v>
      </c>
      <c r="D20" s="12"/>
      <c r="E20" s="1"/>
      <c r="F20" s="63">
        <v>627688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44295</v>
      </c>
      <c r="B21" s="1" t="s">
        <v>48</v>
      </c>
      <c r="C21" s="1" t="s">
        <v>49</v>
      </c>
      <c r="D21" s="12">
        <f>D5+D11+14</f>
        <v>101.99</v>
      </c>
      <c r="E21" s="1"/>
      <c r="F21" s="74">
        <v>885144</v>
      </c>
      <c r="H21" s="1"/>
      <c r="I21" s="1"/>
      <c r="J21" s="18"/>
      <c r="K21" s="1"/>
      <c r="L21" s="1"/>
      <c r="M21" s="1"/>
      <c r="N21" s="1"/>
    </row>
    <row r="22" spans="1:14">
      <c r="A22" s="53">
        <v>44295</v>
      </c>
      <c r="B22" s="1" t="s">
        <v>27</v>
      </c>
      <c r="C22" s="1" t="s">
        <v>43</v>
      </c>
      <c r="D22" s="12"/>
      <c r="E22" s="1"/>
      <c r="F22" s="63" t="s">
        <v>1128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2966.1099999999997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65"/>
      <c r="G31" s="29"/>
      <c r="H31" s="29"/>
      <c r="I31" s="31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5300</v>
      </c>
      <c r="E32" s="30"/>
      <c r="F32" s="65"/>
      <c r="G32" s="29"/>
      <c r="H32" s="29"/>
      <c r="I32" s="31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2333.8900000000003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583.47250000000008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208.47250000000008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D046-9193-41E8-BC5E-8AB8184A9549}">
  <dimension ref="A1:N49"/>
  <sheetViews>
    <sheetView topLeftCell="A4"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5" t="s">
        <v>1122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44323</v>
      </c>
      <c r="B3" s="7" t="s">
        <v>6</v>
      </c>
      <c r="C3" s="1" t="s">
        <v>359</v>
      </c>
      <c r="D3" s="8">
        <v>1160.94</v>
      </c>
      <c r="E3" s="9"/>
      <c r="F3" s="73" t="s">
        <v>1132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44319</v>
      </c>
      <c r="B4" s="7" t="s">
        <v>10</v>
      </c>
      <c r="C4" s="1" t="s">
        <v>13</v>
      </c>
      <c r="D4" s="12">
        <v>138.1</v>
      </c>
      <c r="E4" s="9"/>
      <c r="F4" s="64" t="s">
        <v>1131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44323</v>
      </c>
      <c r="B6" s="56" t="s">
        <v>303</v>
      </c>
      <c r="C6" s="1" t="s">
        <v>767</v>
      </c>
      <c r="D6" s="12">
        <v>119</v>
      </c>
      <c r="E6" s="9"/>
      <c r="F6" s="76">
        <v>5068655707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44323</v>
      </c>
      <c r="B7" s="7" t="s">
        <v>155</v>
      </c>
      <c r="C7" s="1" t="s">
        <v>16</v>
      </c>
      <c r="D7" s="12">
        <v>76</v>
      </c>
      <c r="E7" s="12"/>
      <c r="F7" s="16" t="s">
        <v>1133</v>
      </c>
      <c r="H7" s="7"/>
      <c r="I7" s="7"/>
      <c r="J7" s="17"/>
      <c r="K7" s="7"/>
      <c r="L7" s="7"/>
      <c r="M7" s="7"/>
      <c r="N7" s="7"/>
    </row>
    <row r="8" spans="1:14">
      <c r="A8" s="51">
        <v>44323</v>
      </c>
      <c r="B8" s="7" t="s">
        <v>21</v>
      </c>
      <c r="C8" s="1" t="s">
        <v>23</v>
      </c>
      <c r="D8" s="12">
        <v>545.78</v>
      </c>
      <c r="E8" s="9"/>
      <c r="F8" s="65" t="s">
        <v>1136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76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44323</v>
      </c>
      <c r="B10" s="7" t="s">
        <v>27</v>
      </c>
      <c r="C10" s="1" t="s">
        <v>28</v>
      </c>
      <c r="D10" s="12">
        <v>83.95</v>
      </c>
      <c r="E10" s="16"/>
      <c r="F10" t="s">
        <v>1134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44323</v>
      </c>
      <c r="B12" s="7" t="s">
        <v>31</v>
      </c>
      <c r="C12" s="1" t="s">
        <v>186</v>
      </c>
      <c r="D12" s="12">
        <v>53.1</v>
      </c>
      <c r="E12" s="9"/>
      <c r="F12" s="76" t="s">
        <v>1135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44337</v>
      </c>
      <c r="B13" s="7" t="s">
        <v>863</v>
      </c>
      <c r="C13" s="1" t="s">
        <v>864</v>
      </c>
      <c r="D13" s="12">
        <v>510</v>
      </c>
      <c r="E13" s="12"/>
      <c r="F13" s="65" t="s">
        <v>1137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44337</v>
      </c>
      <c r="B14" s="7" t="s">
        <v>367</v>
      </c>
      <c r="C14" s="1" t="s">
        <v>35</v>
      </c>
      <c r="D14" s="12">
        <v>161</v>
      </c>
      <c r="E14" s="9"/>
      <c r="F14" s="65" t="s">
        <v>1138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77" t="s">
        <v>1106</v>
      </c>
      <c r="C15" s="1" t="s">
        <v>1109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44323</v>
      </c>
      <c r="B20" s="1" t="s">
        <v>45</v>
      </c>
      <c r="C20" s="1" t="s">
        <v>1024</v>
      </c>
      <c r="D20" s="12"/>
      <c r="E20" s="1"/>
      <c r="F20" s="63">
        <v>919414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44323</v>
      </c>
      <c r="B21" s="1" t="s">
        <v>48</v>
      </c>
      <c r="C21" s="1" t="s">
        <v>49</v>
      </c>
      <c r="D21" s="12">
        <f>D5+D11+14</f>
        <v>101.99</v>
      </c>
      <c r="E21" s="1"/>
      <c r="F21" s="74">
        <v>947871</v>
      </c>
      <c r="H21" s="1"/>
      <c r="I21" s="1"/>
      <c r="J21" s="18"/>
      <c r="K21" s="1"/>
      <c r="L21" s="1"/>
      <c r="M21" s="1"/>
      <c r="N21" s="1"/>
    </row>
    <row r="22" spans="1:14">
      <c r="A22" s="53">
        <v>44323</v>
      </c>
      <c r="B22" s="1" t="s">
        <v>27</v>
      </c>
      <c r="C22" s="1" t="s">
        <v>43</v>
      </c>
      <c r="D22" s="12"/>
      <c r="E22" s="1"/>
      <c r="F22" s="63" t="s">
        <v>1135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>
        <v>44337</v>
      </c>
      <c r="B26" s="1" t="s">
        <v>38</v>
      </c>
      <c r="C26" s="1" t="s">
        <v>39</v>
      </c>
      <c r="D26" s="23">
        <v>0</v>
      </c>
      <c r="E26" s="1"/>
      <c r="F26" s="65" t="s">
        <v>1141</v>
      </c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2966.1099999999997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100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5202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2335.8900000000003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583.97250000000008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208.97250000000008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A388-071C-4646-BD6C-F15AC8E79827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5" t="s">
        <v>1139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44347</v>
      </c>
      <c r="B3" s="7" t="s">
        <v>6</v>
      </c>
      <c r="C3" s="1" t="s">
        <v>359</v>
      </c>
      <c r="D3" s="8">
        <v>1160.94</v>
      </c>
      <c r="E3" s="9"/>
      <c r="F3" s="73" t="s">
        <v>1140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44347</v>
      </c>
      <c r="B4" s="7" t="s">
        <v>10</v>
      </c>
      <c r="C4" s="1" t="s">
        <v>13</v>
      </c>
      <c r="D4" s="12">
        <v>138.1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44354</v>
      </c>
      <c r="B6" s="56" t="s">
        <v>303</v>
      </c>
      <c r="C6" s="1" t="s">
        <v>767</v>
      </c>
      <c r="D6" s="12">
        <v>119</v>
      </c>
      <c r="E6" s="9"/>
      <c r="F6" s="76">
        <v>1177255001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44354</v>
      </c>
      <c r="B7" s="7" t="s">
        <v>155</v>
      </c>
      <c r="C7" s="1" t="s">
        <v>16</v>
      </c>
      <c r="D7" s="12">
        <v>76</v>
      </c>
      <c r="E7" s="12"/>
      <c r="F7" s="16" t="s">
        <v>1142</v>
      </c>
      <c r="H7" s="7"/>
      <c r="I7" s="7"/>
      <c r="J7" s="17"/>
      <c r="K7" s="7"/>
      <c r="L7" s="7"/>
      <c r="M7" s="7"/>
      <c r="N7" s="7"/>
    </row>
    <row r="8" spans="1:14">
      <c r="A8" s="51">
        <v>44354</v>
      </c>
      <c r="B8" s="7" t="s">
        <v>21</v>
      </c>
      <c r="C8" s="1" t="s">
        <v>23</v>
      </c>
      <c r="D8" s="12">
        <v>545.78</v>
      </c>
      <c r="E8" s="9"/>
      <c r="F8" s="65" t="s">
        <v>1145</v>
      </c>
      <c r="H8" s="11"/>
      <c r="I8" s="11"/>
      <c r="J8" s="19"/>
      <c r="K8" s="11"/>
      <c r="L8" s="11"/>
      <c r="M8" s="11"/>
      <c r="N8" s="11"/>
    </row>
    <row r="9" spans="1:14">
      <c r="A9" s="51">
        <v>44354</v>
      </c>
      <c r="B9" s="7" t="s">
        <v>21</v>
      </c>
      <c r="C9" s="1" t="s">
        <v>25</v>
      </c>
      <c r="D9" s="12">
        <v>30.25</v>
      </c>
      <c r="E9" s="16"/>
      <c r="F9" s="76" t="s">
        <v>1144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44354</v>
      </c>
      <c r="B10" s="7" t="s">
        <v>27</v>
      </c>
      <c r="C10" s="1" t="s">
        <v>28</v>
      </c>
      <c r="D10" s="12">
        <v>83.95</v>
      </c>
      <c r="E10" s="16"/>
      <c r="F10" t="s">
        <v>1142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44354</v>
      </c>
      <c r="B12" s="7" t="s">
        <v>31</v>
      </c>
      <c r="C12" s="1" t="s">
        <v>186</v>
      </c>
      <c r="D12" s="12">
        <v>53.1</v>
      </c>
      <c r="E12" s="9"/>
      <c r="F12" s="76" t="s">
        <v>1143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44365</v>
      </c>
      <c r="B13" s="7" t="s">
        <v>863</v>
      </c>
      <c r="C13" s="1" t="s">
        <v>864</v>
      </c>
      <c r="D13" s="12">
        <v>510</v>
      </c>
      <c r="E13" s="12"/>
      <c r="F13" s="65" t="s">
        <v>1148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44365</v>
      </c>
      <c r="B14" s="7" t="s">
        <v>367</v>
      </c>
      <c r="C14" s="1" t="s">
        <v>35</v>
      </c>
      <c r="D14" s="12">
        <v>161</v>
      </c>
      <c r="E14" s="9"/>
      <c r="F14" s="65" t="s">
        <v>1149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77" t="s">
        <v>1106</v>
      </c>
      <c r="C15" s="1" t="s">
        <v>1109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44354</v>
      </c>
      <c r="B20" s="1" t="s">
        <v>45</v>
      </c>
      <c r="C20" s="1" t="s">
        <v>1024</v>
      </c>
      <c r="D20" s="12"/>
      <c r="E20" s="1"/>
      <c r="F20" s="63">
        <v>887709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44354</v>
      </c>
      <c r="B21" s="1" t="s">
        <v>48</v>
      </c>
      <c r="C21" s="1" t="s">
        <v>49</v>
      </c>
      <c r="D21" s="12">
        <f>D5+D11+14</f>
        <v>101.99</v>
      </c>
      <c r="E21" s="1"/>
      <c r="F21" s="74">
        <v>525621</v>
      </c>
      <c r="H21" s="1"/>
      <c r="I21" s="1"/>
      <c r="J21" s="18"/>
      <c r="K21" s="1"/>
      <c r="L21" s="1"/>
      <c r="M21" s="1"/>
      <c r="N21" s="1"/>
    </row>
    <row r="22" spans="1:14">
      <c r="A22" s="53">
        <v>44354</v>
      </c>
      <c r="B22" s="1" t="s">
        <v>27</v>
      </c>
      <c r="C22" s="1" t="s">
        <v>43</v>
      </c>
      <c r="D22" s="12"/>
      <c r="E22" s="1"/>
      <c r="F22" s="63" t="s">
        <v>1147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>
        <v>44354</v>
      </c>
      <c r="B26" s="1" t="s">
        <v>38</v>
      </c>
      <c r="C26" s="1" t="s">
        <v>39</v>
      </c>
      <c r="D26" s="23">
        <v>0</v>
      </c>
      <c r="E26" s="1"/>
      <c r="F26" s="65" t="s">
        <v>1146</v>
      </c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2966.1099999999997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5462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2495.8900000000003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623.97250000000008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248.97250000000008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D4B3-1577-451B-9A6C-F3A6AD566BDA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5" t="s">
        <v>1150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44379</v>
      </c>
      <c r="B3" s="7" t="s">
        <v>6</v>
      </c>
      <c r="C3" s="1" t="s">
        <v>359</v>
      </c>
      <c r="D3" s="8">
        <v>1160.94</v>
      </c>
      <c r="E3" s="9"/>
      <c r="F3" s="73" t="s">
        <v>1151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44377</v>
      </c>
      <c r="B4" s="7" t="s">
        <v>10</v>
      </c>
      <c r="C4" s="1" t="s">
        <v>13</v>
      </c>
      <c r="D4" s="12">
        <v>169.23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44379</v>
      </c>
      <c r="B6" s="56" t="s">
        <v>303</v>
      </c>
      <c r="C6" s="1" t="s">
        <v>767</v>
      </c>
      <c r="D6" s="12">
        <v>119</v>
      </c>
      <c r="E6" s="9"/>
      <c r="F6" s="76">
        <v>4083980128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44390</v>
      </c>
      <c r="B7" s="7" t="s">
        <v>155</v>
      </c>
      <c r="C7" s="1" t="s">
        <v>16</v>
      </c>
      <c r="D7" s="12">
        <v>76</v>
      </c>
      <c r="E7" s="12"/>
      <c r="F7" s="16" t="s">
        <v>1152</v>
      </c>
      <c r="H7" s="7"/>
      <c r="I7" s="7"/>
      <c r="J7" s="17"/>
      <c r="K7" s="7"/>
      <c r="L7" s="7"/>
      <c r="M7" s="7"/>
      <c r="N7" s="7"/>
    </row>
    <row r="8" spans="1:14">
      <c r="A8" s="51">
        <v>44390</v>
      </c>
      <c r="B8" s="7" t="s">
        <v>21</v>
      </c>
      <c r="C8" s="1" t="s">
        <v>23</v>
      </c>
      <c r="D8" s="12">
        <v>545.78</v>
      </c>
      <c r="E8" s="9"/>
      <c r="F8" s="65" t="s">
        <v>1153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76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44390</v>
      </c>
      <c r="B10" s="7" t="s">
        <v>27</v>
      </c>
      <c r="C10" s="1" t="s">
        <v>28</v>
      </c>
      <c r="D10" s="12">
        <v>83.95</v>
      </c>
      <c r="E10" s="16"/>
      <c r="F10"/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 ht="30">
      <c r="A12" s="51">
        <v>44390</v>
      </c>
      <c r="B12" s="7" t="s">
        <v>31</v>
      </c>
      <c r="C12" s="1" t="s">
        <v>186</v>
      </c>
      <c r="D12" s="12">
        <v>53.1</v>
      </c>
      <c r="E12" s="9"/>
      <c r="F12" s="76" t="s">
        <v>1155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44400</v>
      </c>
      <c r="B13" s="7" t="s">
        <v>863</v>
      </c>
      <c r="C13" s="1" t="s">
        <v>864</v>
      </c>
      <c r="D13" s="12">
        <v>510</v>
      </c>
      <c r="E13" s="12"/>
      <c r="F13" s="65" t="s">
        <v>1156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44407</v>
      </c>
      <c r="B14" s="7" t="s">
        <v>367</v>
      </c>
      <c r="C14" s="1" t="s">
        <v>35</v>
      </c>
      <c r="D14" s="12">
        <v>161</v>
      </c>
      <c r="E14" s="9"/>
      <c r="F14" s="65" t="s">
        <v>1157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77" t="s">
        <v>1106</v>
      </c>
      <c r="C15" s="1" t="s">
        <v>1109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>
        <v>44390</v>
      </c>
      <c r="B19" s="1" t="s">
        <v>45</v>
      </c>
      <c r="C19" s="1" t="s">
        <v>258</v>
      </c>
      <c r="D19" s="12">
        <v>0</v>
      </c>
      <c r="E19" s="1"/>
      <c r="F19" s="65" t="s">
        <v>1154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44379</v>
      </c>
      <c r="B20" s="1" t="s">
        <v>45</v>
      </c>
      <c r="C20" s="1" t="s">
        <v>1024</v>
      </c>
      <c r="D20" s="12"/>
      <c r="E20" s="1"/>
      <c r="F20" s="63">
        <v>783708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44393</v>
      </c>
      <c r="B21" s="1" t="s">
        <v>48</v>
      </c>
      <c r="C21" s="1" t="s">
        <v>49</v>
      </c>
      <c r="D21" s="12">
        <f>D5+D11+14</f>
        <v>101.99</v>
      </c>
      <c r="E21" s="1"/>
      <c r="F21" s="74">
        <v>1645.52</v>
      </c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27</v>
      </c>
      <c r="C22" s="1" t="s">
        <v>43</v>
      </c>
      <c r="D22" s="12"/>
      <c r="E22" s="1"/>
      <c r="F22" s="63"/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2997.24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5462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2464.7600000000002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616.19000000000005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241.19000000000005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4BBB-9010-4B38-B29C-9B290D5B6CC9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5" t="s">
        <v>1158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44407</v>
      </c>
      <c r="B3" s="7" t="s">
        <v>6</v>
      </c>
      <c r="C3" s="1" t="s">
        <v>359</v>
      </c>
      <c r="D3" s="8">
        <v>1160.94</v>
      </c>
      <c r="E3" s="9"/>
      <c r="F3" s="11" t="s">
        <v>1159</v>
      </c>
      <c r="G3" s="11"/>
      <c r="H3" s="11"/>
      <c r="I3" s="58"/>
      <c r="J3" s="11"/>
      <c r="K3" s="11"/>
      <c r="L3" s="11"/>
      <c r="M3" s="11"/>
    </row>
    <row r="4" spans="1:14" ht="15.75">
      <c r="A4" s="51">
        <v>44407</v>
      </c>
      <c r="B4" s="7" t="s">
        <v>10</v>
      </c>
      <c r="C4" s="1" t="s">
        <v>13</v>
      </c>
      <c r="D4" s="12">
        <v>169.23</v>
      </c>
      <c r="E4" s="9"/>
      <c r="F4" s="11"/>
      <c r="G4" s="11"/>
      <c r="H4" s="59"/>
      <c r="I4" s="19"/>
      <c r="J4" s="11"/>
      <c r="K4" s="11"/>
      <c r="L4" s="11"/>
      <c r="M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16"/>
      <c r="G5" s="7"/>
      <c r="H5" s="7"/>
      <c r="I5" s="17"/>
      <c r="J5" s="7"/>
      <c r="K5" s="7"/>
      <c r="L5" s="7"/>
      <c r="M5" s="7"/>
    </row>
    <row r="6" spans="1:14">
      <c r="A6" s="51">
        <v>44420</v>
      </c>
      <c r="B6" s="56" t="s">
        <v>303</v>
      </c>
      <c r="C6" s="1" t="s">
        <v>767</v>
      </c>
      <c r="D6" s="12">
        <v>119</v>
      </c>
      <c r="E6" s="9"/>
      <c r="F6" s="1">
        <v>5195614766</v>
      </c>
      <c r="G6" s="1"/>
      <c r="H6" s="1"/>
      <c r="I6" s="18"/>
      <c r="J6" s="1"/>
      <c r="K6" s="1"/>
      <c r="L6" s="1"/>
      <c r="M6" s="1"/>
    </row>
    <row r="7" spans="1:14">
      <c r="A7" s="51">
        <v>44423</v>
      </c>
      <c r="B7" s="7" t="s">
        <v>155</v>
      </c>
      <c r="C7" s="1" t="s">
        <v>16</v>
      </c>
      <c r="D7" s="12">
        <v>76</v>
      </c>
      <c r="E7" s="12"/>
      <c r="F7" t="s">
        <v>1162</v>
      </c>
      <c r="G7" s="7"/>
      <c r="H7" s="7"/>
      <c r="I7" s="17"/>
      <c r="J7" s="7"/>
      <c r="K7" s="7"/>
      <c r="L7" s="7"/>
      <c r="M7" s="7"/>
    </row>
    <row r="8" spans="1:14">
      <c r="A8" s="51">
        <v>44423</v>
      </c>
      <c r="B8" s="7" t="s">
        <v>21</v>
      </c>
      <c r="C8" s="1" t="s">
        <v>23</v>
      </c>
      <c r="D8" s="12">
        <v>545.78</v>
      </c>
      <c r="E8" s="9"/>
      <c r="F8" t="s">
        <v>1164</v>
      </c>
      <c r="G8" s="11"/>
      <c r="H8" s="11"/>
      <c r="I8" s="19"/>
      <c r="J8" s="11"/>
      <c r="K8" s="11"/>
      <c r="L8" s="11"/>
      <c r="M8" s="11"/>
    </row>
    <row r="9" spans="1:14">
      <c r="A9" s="51">
        <v>44420</v>
      </c>
      <c r="B9" s="7" t="s">
        <v>21</v>
      </c>
      <c r="C9" s="1" t="s">
        <v>25</v>
      </c>
      <c r="D9" s="12">
        <v>30.25</v>
      </c>
      <c r="E9" s="16"/>
      <c r="F9" s="11" t="s">
        <v>1161</v>
      </c>
      <c r="G9" s="11"/>
      <c r="H9" s="11"/>
      <c r="I9" s="19"/>
      <c r="J9" s="11"/>
      <c r="K9" s="11"/>
      <c r="L9" s="11"/>
      <c r="M9" s="11"/>
    </row>
    <row r="10" spans="1:14">
      <c r="A10" s="51">
        <v>44423</v>
      </c>
      <c r="B10" s="7" t="s">
        <v>27</v>
      </c>
      <c r="C10" s="1" t="s">
        <v>28</v>
      </c>
      <c r="D10" s="12">
        <v>83.95</v>
      </c>
      <c r="E10" s="16"/>
      <c r="F10" t="s">
        <v>1163</v>
      </c>
      <c r="G10" s="11"/>
      <c r="H10" s="11"/>
      <c r="I10" s="19"/>
      <c r="J10" s="11"/>
      <c r="K10" s="11"/>
      <c r="L10" s="11"/>
      <c r="M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/>
      <c r="G11" s="11"/>
      <c r="H11" s="11"/>
      <c r="I11" s="19"/>
      <c r="J11" s="11"/>
      <c r="K11" s="11"/>
      <c r="L11" s="11"/>
      <c r="M11" s="11"/>
    </row>
    <row r="12" spans="1:14">
      <c r="A12" s="51" t="s">
        <v>1167</v>
      </c>
      <c r="B12" s="7" t="s">
        <v>31</v>
      </c>
      <c r="C12" s="1" t="s">
        <v>186</v>
      </c>
      <c r="D12" s="12">
        <v>53.1</v>
      </c>
      <c r="E12" s="9"/>
      <c r="F12" s="20" t="s">
        <v>1160</v>
      </c>
      <c r="G12" s="20" t="s">
        <v>1166</v>
      </c>
      <c r="H12" s="11"/>
      <c r="I12" s="19"/>
      <c r="J12" s="11"/>
      <c r="K12" s="11"/>
      <c r="L12" s="11"/>
      <c r="M12" s="11"/>
    </row>
    <row r="13" spans="1:14">
      <c r="A13" s="51">
        <v>44433</v>
      </c>
      <c r="B13" s="7" t="s">
        <v>863</v>
      </c>
      <c r="C13" s="1" t="s">
        <v>864</v>
      </c>
      <c r="D13" s="12">
        <v>510</v>
      </c>
      <c r="E13" s="12"/>
      <c r="F13" s="80">
        <v>81980434</v>
      </c>
      <c r="G13" s="1"/>
      <c r="H13" s="1"/>
      <c r="I13" s="18"/>
      <c r="J13" s="1"/>
      <c r="K13" s="1"/>
      <c r="L13" s="1"/>
      <c r="M13" s="1"/>
    </row>
    <row r="14" spans="1:14">
      <c r="A14" s="51">
        <v>44433</v>
      </c>
      <c r="B14" s="7" t="s">
        <v>367</v>
      </c>
      <c r="C14" s="1" t="s">
        <v>35</v>
      </c>
      <c r="D14" s="12">
        <v>161</v>
      </c>
      <c r="E14" s="9"/>
      <c r="F14" s="79">
        <v>91160758</v>
      </c>
      <c r="G14" s="7"/>
      <c r="H14" s="7"/>
      <c r="I14" s="17"/>
      <c r="J14" s="7"/>
      <c r="K14" s="7"/>
      <c r="L14" s="7"/>
      <c r="M14" s="7"/>
    </row>
    <row r="15" spans="1:14" ht="17.25">
      <c r="A15" s="51">
        <v>44433</v>
      </c>
      <c r="B15" s="77" t="s">
        <v>1106</v>
      </c>
      <c r="C15" s="1" t="s">
        <v>1109</v>
      </c>
      <c r="D15" s="12">
        <v>0</v>
      </c>
      <c r="E15" s="9"/>
      <c r="F15" s="78">
        <v>8574764</v>
      </c>
      <c r="G15" s="7"/>
      <c r="H15" s="7"/>
      <c r="I15" s="17"/>
      <c r="J15" s="7"/>
      <c r="K15" s="7"/>
      <c r="L15" s="7"/>
      <c r="M15" s="7"/>
    </row>
    <row r="16" spans="1:14">
      <c r="A16" s="52"/>
      <c r="B16" s="7"/>
      <c r="C16" s="1"/>
      <c r="D16" s="1"/>
      <c r="E16" s="1"/>
      <c r="F16" s="1"/>
      <c r="G16" s="1"/>
      <c r="H16" s="1"/>
      <c r="I16" s="18"/>
      <c r="J16" s="1"/>
      <c r="K16" s="1"/>
      <c r="L16" s="1"/>
      <c r="M16" s="1"/>
    </row>
    <row r="17" spans="1:14">
      <c r="A17" s="52"/>
      <c r="B17" s="1"/>
      <c r="C17" s="1"/>
      <c r="D17" s="12">
        <v>0</v>
      </c>
      <c r="E17" s="1"/>
      <c r="F17" s="1"/>
      <c r="G17" s="68"/>
      <c r="H17" s="1"/>
      <c r="I17" s="18"/>
      <c r="J17" s="1"/>
      <c r="K17" s="1"/>
      <c r="L17" s="1"/>
      <c r="M17" s="1"/>
    </row>
    <row r="18" spans="1:14">
      <c r="A18" s="52"/>
      <c r="B18" s="1"/>
      <c r="C18" s="22" t="s">
        <v>37</v>
      </c>
      <c r="D18" s="1"/>
      <c r="E18" s="1"/>
      <c r="F18" s="1"/>
      <c r="G18" s="1"/>
      <c r="H18" s="1"/>
      <c r="I18" s="18"/>
      <c r="J18" s="1"/>
      <c r="K18" s="1"/>
      <c r="L18" s="1"/>
      <c r="M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1">
        <v>202175</v>
      </c>
      <c r="G19" s="1"/>
      <c r="H19" s="1"/>
      <c r="I19" s="18"/>
      <c r="J19" s="1"/>
      <c r="K19" s="1"/>
      <c r="L19" s="1"/>
      <c r="M19" s="1"/>
    </row>
    <row r="20" spans="1:14">
      <c r="A20" s="53">
        <v>44435</v>
      </c>
      <c r="B20" s="1" t="s">
        <v>45</v>
      </c>
      <c r="C20" s="1" t="s">
        <v>1024</v>
      </c>
      <c r="D20" s="12"/>
      <c r="E20" s="1"/>
      <c r="F20" s="1">
        <v>536282</v>
      </c>
      <c r="G20" s="1"/>
      <c r="H20" s="1"/>
      <c r="I20" s="18"/>
      <c r="J20" s="1"/>
      <c r="K20" s="1"/>
      <c r="L20" s="1"/>
      <c r="M20" s="1"/>
    </row>
    <row r="21" spans="1:14">
      <c r="A21" s="53">
        <v>44423</v>
      </c>
      <c r="B21" s="1" t="s">
        <v>48</v>
      </c>
      <c r="C21" s="1" t="s">
        <v>49</v>
      </c>
      <c r="D21" s="12">
        <f>D5+D11+14</f>
        <v>101.99</v>
      </c>
      <c r="E21" s="1"/>
      <c r="F21">
        <v>848756</v>
      </c>
      <c r="G21" s="1"/>
      <c r="H21" s="1"/>
      <c r="I21" s="18"/>
      <c r="J21" s="1"/>
      <c r="K21" s="1"/>
      <c r="L21" s="1"/>
      <c r="M21" s="1"/>
    </row>
    <row r="22" spans="1:14">
      <c r="A22" s="53">
        <v>44423</v>
      </c>
      <c r="B22" s="1" t="s">
        <v>27</v>
      </c>
      <c r="C22" s="1" t="s">
        <v>43</v>
      </c>
      <c r="D22" s="12"/>
      <c r="E22" s="1"/>
      <c r="F22" s="1" t="s">
        <v>1165</v>
      </c>
      <c r="G22" s="1"/>
      <c r="H22" s="1"/>
      <c r="I22" s="18"/>
      <c r="J22" s="1"/>
      <c r="K22" s="1"/>
      <c r="L22" s="1"/>
      <c r="M22" s="1"/>
    </row>
    <row r="23" spans="1:14">
      <c r="A23" s="53" t="s">
        <v>9</v>
      </c>
      <c r="B23" s="1" t="s">
        <v>51</v>
      </c>
      <c r="C23" s="1" t="s">
        <v>52</v>
      </c>
      <c r="E23" s="1"/>
      <c r="F23" s="1"/>
      <c r="G23" s="1"/>
      <c r="H23" s="1"/>
      <c r="I23" s="18"/>
      <c r="J23" s="1"/>
      <c r="K23" s="48"/>
      <c r="L23" s="1"/>
      <c r="M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1"/>
      <c r="G24" s="1"/>
      <c r="H24" s="1"/>
      <c r="I24" s="18"/>
      <c r="J24" s="1"/>
      <c r="K24" s="70"/>
      <c r="L24" s="1"/>
      <c r="M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1"/>
      <c r="G25" s="1"/>
      <c r="H25" s="1"/>
      <c r="I25" s="18"/>
      <c r="J25" s="1"/>
      <c r="K25" s="70"/>
      <c r="L25" s="1"/>
      <c r="M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1"/>
      <c r="G26" s="1"/>
      <c r="H26" s="1"/>
      <c r="I26" s="18"/>
      <c r="J26" s="1"/>
      <c r="K26" s="1"/>
      <c r="L26" s="1"/>
      <c r="M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1"/>
      <c r="G27" s="1"/>
      <c r="H27" s="1"/>
      <c r="I27" s="18"/>
      <c r="J27" s="1"/>
      <c r="K27" s="1"/>
      <c r="L27" s="1"/>
      <c r="M27" s="1"/>
    </row>
    <row r="28" spans="1:14">
      <c r="A28" s="1"/>
      <c r="B28" s="1"/>
      <c r="C28" s="1"/>
      <c r="D28" s="1"/>
      <c r="E28" s="1"/>
      <c r="F28" s="1"/>
      <c r="G28" s="1"/>
      <c r="H28" s="1"/>
      <c r="I28" s="18"/>
      <c r="J28" s="18"/>
      <c r="K28" s="1"/>
      <c r="L28" s="1"/>
      <c r="M28" s="1"/>
    </row>
    <row r="29" spans="1:14">
      <c r="A29" s="1"/>
      <c r="B29" s="1"/>
      <c r="C29" s="22" t="s">
        <v>56</v>
      </c>
      <c r="D29" s="28">
        <f>SUM(D3:D20,D22,D23,D26,D27,D24,D25)</f>
        <v>2997.24</v>
      </c>
      <c r="E29" s="1"/>
      <c r="F29" s="1"/>
      <c r="G29" s="1"/>
      <c r="H29" s="12"/>
      <c r="I29" s="18"/>
      <c r="J29" s="1"/>
      <c r="K29" s="1"/>
      <c r="L29" s="1"/>
      <c r="M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5462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2464.7600000000002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616.19000000000005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241.19000000000005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2FFF-5B37-4FF1-B80D-E54E96352D6A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5">
        <v>44460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44435</v>
      </c>
      <c r="B3" s="7" t="s">
        <v>6</v>
      </c>
      <c r="C3" s="1" t="s">
        <v>359</v>
      </c>
      <c r="D3" s="8">
        <v>1160.94</v>
      </c>
      <c r="E3" s="9"/>
      <c r="F3" s="73" t="s">
        <v>1168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44439</v>
      </c>
      <c r="B4" s="7" t="s">
        <v>10</v>
      </c>
      <c r="C4" s="1" t="s">
        <v>13</v>
      </c>
      <c r="D4" s="12">
        <v>169.23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44447</v>
      </c>
      <c r="B6" s="56" t="s">
        <v>303</v>
      </c>
      <c r="C6" s="1" t="s">
        <v>767</v>
      </c>
      <c r="D6" s="12">
        <v>119</v>
      </c>
      <c r="E6" s="9"/>
      <c r="F6" s="81">
        <v>2903214168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44447</v>
      </c>
      <c r="B7" s="7" t="s">
        <v>155</v>
      </c>
      <c r="C7" s="1" t="s">
        <v>16</v>
      </c>
      <c r="D7" s="12">
        <v>76</v>
      </c>
      <c r="E7" s="12"/>
      <c r="F7" s="82" t="s">
        <v>1169</v>
      </c>
      <c r="H7" s="7"/>
      <c r="I7" s="7"/>
      <c r="J7" s="17"/>
      <c r="K7" s="7"/>
      <c r="L7" s="7"/>
      <c r="M7" s="7"/>
      <c r="N7" s="7"/>
    </row>
    <row r="8" spans="1:14">
      <c r="A8" s="51">
        <v>44452</v>
      </c>
      <c r="B8" s="7" t="s">
        <v>21</v>
      </c>
      <c r="C8" s="1" t="s">
        <v>23</v>
      </c>
      <c r="D8" s="12">
        <v>545.78</v>
      </c>
      <c r="E8" s="9"/>
      <c r="F8" s="65" t="s">
        <v>1173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76" t="s">
        <v>1170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44452</v>
      </c>
      <c r="B10" s="7" t="s">
        <v>27</v>
      </c>
      <c r="C10" s="1" t="s">
        <v>28</v>
      </c>
      <c r="D10" s="12">
        <v>83.95</v>
      </c>
      <c r="E10" s="16"/>
      <c r="F10" t="s">
        <v>1172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44452</v>
      </c>
      <c r="B12" s="7" t="s">
        <v>31</v>
      </c>
      <c r="C12" s="1" t="s">
        <v>186</v>
      </c>
      <c r="D12" s="12">
        <v>53.1</v>
      </c>
      <c r="E12" s="9"/>
      <c r="F12" s="76" t="s">
        <v>1174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44464</v>
      </c>
      <c r="B13" s="7" t="s">
        <v>863</v>
      </c>
      <c r="C13" s="1" t="s">
        <v>864</v>
      </c>
      <c r="D13" s="12">
        <v>510</v>
      </c>
      <c r="E13" s="12"/>
      <c r="F13" s="65" t="s">
        <v>1175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44464</v>
      </c>
      <c r="B14" s="7" t="s">
        <v>367</v>
      </c>
      <c r="C14" s="1" t="s">
        <v>35</v>
      </c>
      <c r="D14" s="12">
        <v>161</v>
      </c>
      <c r="E14" s="9"/>
      <c r="F14" s="65" t="s">
        <v>1176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77" t="s">
        <v>1106</v>
      </c>
      <c r="C15" s="1" t="s">
        <v>1109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/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44447</v>
      </c>
      <c r="B20" s="1" t="s">
        <v>45</v>
      </c>
      <c r="C20" s="1" t="s">
        <v>1024</v>
      </c>
      <c r="D20" s="12"/>
      <c r="E20" s="1"/>
      <c r="F20" s="83">
        <v>171744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44452</v>
      </c>
      <c r="B21" s="1" t="s">
        <v>48</v>
      </c>
      <c r="C21" s="1" t="s">
        <v>49</v>
      </c>
      <c r="D21" s="12">
        <f>D5+D11+14</f>
        <v>101.99</v>
      </c>
      <c r="E21" s="1"/>
      <c r="F21" s="74">
        <v>920552</v>
      </c>
      <c r="H21" s="1"/>
      <c r="I21" s="1"/>
      <c r="J21" s="18"/>
      <c r="K21" s="1"/>
      <c r="L21" s="1"/>
      <c r="M21" s="1"/>
      <c r="N21" s="1"/>
    </row>
    <row r="22" spans="1:14">
      <c r="A22" s="53">
        <v>44452</v>
      </c>
      <c r="B22" s="1" t="s">
        <v>27</v>
      </c>
      <c r="C22" s="1" t="s">
        <v>43</v>
      </c>
      <c r="D22" s="12">
        <v>1</v>
      </c>
      <c r="E22" s="1"/>
      <c r="F22" s="63" t="s">
        <v>1171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2998.24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5462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2463.7600000000002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615.94000000000005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240.94000000000005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25EC-2A72-4041-AD15-946CBAA3408D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5" t="s">
        <v>1177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44471</v>
      </c>
      <c r="B3" s="7" t="s">
        <v>6</v>
      </c>
      <c r="C3" s="1" t="s">
        <v>359</v>
      </c>
      <c r="D3" s="8">
        <v>1160.94</v>
      </c>
      <c r="E3" s="9"/>
      <c r="F3" s="73" t="s">
        <v>1179</v>
      </c>
      <c r="G3" s="11">
        <v>161.54</v>
      </c>
      <c r="H3" s="11"/>
      <c r="I3" s="11"/>
      <c r="J3" s="58"/>
      <c r="K3" s="11"/>
      <c r="L3" s="11"/>
      <c r="M3" s="11"/>
      <c r="N3" s="11"/>
    </row>
    <row r="4" spans="1:14" ht="15.75">
      <c r="A4" s="51">
        <v>44470</v>
      </c>
      <c r="B4" s="7" t="s">
        <v>10</v>
      </c>
      <c r="C4" s="1" t="s">
        <v>13</v>
      </c>
      <c r="D4" s="12">
        <v>169.23</v>
      </c>
      <c r="E4" s="9"/>
      <c r="F4" s="64" t="s">
        <v>1178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44477</v>
      </c>
      <c r="B6" s="56" t="s">
        <v>303</v>
      </c>
      <c r="C6" s="1" t="s">
        <v>767</v>
      </c>
      <c r="D6" s="12">
        <v>119</v>
      </c>
      <c r="E6" s="9"/>
      <c r="F6" s="81">
        <v>1412187109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44477</v>
      </c>
      <c r="B7" s="7" t="s">
        <v>155</v>
      </c>
      <c r="C7" s="1" t="s">
        <v>16</v>
      </c>
      <c r="D7" s="12">
        <v>76</v>
      </c>
      <c r="E7" s="12"/>
      <c r="F7" s="82" t="s">
        <v>1180</v>
      </c>
      <c r="H7" s="7"/>
      <c r="I7" s="7"/>
      <c r="J7" s="17"/>
      <c r="K7" s="7"/>
      <c r="L7" s="7"/>
      <c r="M7" s="7"/>
      <c r="N7" s="7"/>
    </row>
    <row r="8" spans="1:14">
      <c r="A8" s="51">
        <v>44483</v>
      </c>
      <c r="B8" s="7" t="s">
        <v>21</v>
      </c>
      <c r="C8" s="1" t="s">
        <v>23</v>
      </c>
      <c r="D8" s="12">
        <v>545.78</v>
      </c>
      <c r="E8" s="9"/>
      <c r="F8" s="65" t="s">
        <v>1184</v>
      </c>
      <c r="H8" s="11"/>
      <c r="I8" s="11"/>
      <c r="J8" s="19"/>
      <c r="K8" s="11"/>
      <c r="L8" s="11"/>
      <c r="M8" s="11"/>
      <c r="N8" s="11"/>
    </row>
    <row r="9" spans="1:14">
      <c r="A9" s="51">
        <v>44478</v>
      </c>
      <c r="B9" s="7" t="s">
        <v>21</v>
      </c>
      <c r="C9" s="1" t="s">
        <v>25</v>
      </c>
      <c r="D9" s="12">
        <v>30.25</v>
      </c>
      <c r="E9" s="16"/>
      <c r="F9" s="76" t="s">
        <v>1181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44483</v>
      </c>
      <c r="B10" s="7" t="s">
        <v>27</v>
      </c>
      <c r="C10" s="1" t="s">
        <v>28</v>
      </c>
      <c r="D10" s="12">
        <v>83.95</v>
      </c>
      <c r="E10" s="16"/>
      <c r="F10" t="s">
        <v>1182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44483</v>
      </c>
      <c r="B12" s="7" t="s">
        <v>31</v>
      </c>
      <c r="C12" s="1" t="s">
        <v>186</v>
      </c>
      <c r="D12" s="12">
        <v>53.1</v>
      </c>
      <c r="E12" s="9"/>
      <c r="F12" s="76">
        <v>14538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44491</v>
      </c>
      <c r="B13" s="7" t="s">
        <v>863</v>
      </c>
      <c r="C13" s="1" t="s">
        <v>864</v>
      </c>
      <c r="D13" s="12">
        <v>510</v>
      </c>
      <c r="E13" s="12"/>
      <c r="F13" s="65" t="s">
        <v>1185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44491</v>
      </c>
      <c r="B14" s="7" t="s">
        <v>367</v>
      </c>
      <c r="C14" s="1" t="s">
        <v>35</v>
      </c>
      <c r="D14" s="12">
        <v>161</v>
      </c>
      <c r="E14" s="9"/>
      <c r="F14" s="65" t="s">
        <v>1186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77" t="s">
        <v>1106</v>
      </c>
      <c r="C15" s="1" t="s">
        <v>1109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44477</v>
      </c>
      <c r="B20" s="1" t="s">
        <v>45</v>
      </c>
      <c r="C20" s="1" t="s">
        <v>1024</v>
      </c>
      <c r="D20" s="12"/>
      <c r="E20" s="1"/>
      <c r="F20" s="83">
        <v>709787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44483</v>
      </c>
      <c r="B21" s="1" t="s">
        <v>48</v>
      </c>
      <c r="C21" s="1" t="s">
        <v>49</v>
      </c>
      <c r="D21" s="12">
        <f>D5+D11+14</f>
        <v>101.99</v>
      </c>
      <c r="E21" s="1"/>
      <c r="F21" s="74">
        <v>154042</v>
      </c>
      <c r="H21" s="1"/>
      <c r="I21" s="1"/>
      <c r="J21" s="18"/>
      <c r="K21" s="1"/>
      <c r="L21" s="1"/>
      <c r="M21" s="1"/>
      <c r="N21" s="1"/>
    </row>
    <row r="22" spans="1:14">
      <c r="A22" s="53">
        <v>44483</v>
      </c>
      <c r="B22" s="1" t="s">
        <v>27</v>
      </c>
      <c r="C22" s="1" t="s">
        <v>43</v>
      </c>
      <c r="D22" s="12">
        <v>1</v>
      </c>
      <c r="E22" s="1"/>
      <c r="F22" s="63" t="s">
        <v>1183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2998.24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5462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2463.7600000000002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615.94000000000005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240.94000000000005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9362-AF48-4530-AD6F-C64B1D146C36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5" t="s">
        <v>1187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44491</v>
      </c>
      <c r="B3" s="7" t="s">
        <v>6</v>
      </c>
      <c r="C3" s="1" t="s">
        <v>359</v>
      </c>
      <c r="D3" s="8">
        <v>1175.48</v>
      </c>
      <c r="E3" s="9"/>
      <c r="F3" s="73" t="s">
        <v>1188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44499</v>
      </c>
      <c r="B4" s="7" t="s">
        <v>10</v>
      </c>
      <c r="C4" s="1" t="s">
        <v>13</v>
      </c>
      <c r="D4" s="12">
        <v>153.79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44505</v>
      </c>
      <c r="B6" s="56" t="s">
        <v>303</v>
      </c>
      <c r="C6" s="1" t="s">
        <v>767</v>
      </c>
      <c r="D6" s="12">
        <v>119</v>
      </c>
      <c r="E6" s="9"/>
      <c r="F6" s="81">
        <v>3119796193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44513</v>
      </c>
      <c r="B7" s="7" t="s">
        <v>155</v>
      </c>
      <c r="C7" s="1" t="s">
        <v>16</v>
      </c>
      <c r="D7" s="12">
        <v>76</v>
      </c>
      <c r="E7" s="12"/>
      <c r="F7" s="82" t="s">
        <v>1189</v>
      </c>
      <c r="H7" s="7"/>
      <c r="I7" s="7"/>
      <c r="J7" s="17"/>
      <c r="K7" s="7"/>
      <c r="L7" s="7"/>
      <c r="M7" s="7"/>
      <c r="N7" s="7"/>
    </row>
    <row r="8" spans="1:14">
      <c r="A8" s="51">
        <v>44513</v>
      </c>
      <c r="B8" s="7" t="s">
        <v>21</v>
      </c>
      <c r="C8" s="1" t="s">
        <v>23</v>
      </c>
      <c r="D8" s="12">
        <v>545.78</v>
      </c>
      <c r="E8" s="9"/>
      <c r="F8" s="65" t="s">
        <v>1190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76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44513</v>
      </c>
      <c r="B10" s="7" t="s">
        <v>27</v>
      </c>
      <c r="C10" s="1" t="s">
        <v>28</v>
      </c>
      <c r="D10" s="12">
        <v>83.95</v>
      </c>
      <c r="E10" s="16"/>
      <c r="F10" t="s">
        <v>1191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44518</v>
      </c>
      <c r="B12" s="7" t="s">
        <v>31</v>
      </c>
      <c r="C12" s="1" t="s">
        <v>186</v>
      </c>
      <c r="D12" s="12">
        <v>53.1</v>
      </c>
      <c r="E12" s="9"/>
      <c r="F12" s="84" t="s">
        <v>1193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 t="s">
        <v>9</v>
      </c>
      <c r="B13" s="7" t="s">
        <v>863</v>
      </c>
      <c r="C13" s="1" t="s">
        <v>864</v>
      </c>
      <c r="D13" s="12">
        <v>510</v>
      </c>
      <c r="E13" s="12"/>
      <c r="F13" s="65"/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44525</v>
      </c>
      <c r="B14" s="7" t="s">
        <v>367</v>
      </c>
      <c r="C14" s="1" t="s">
        <v>35</v>
      </c>
      <c r="D14" s="12">
        <v>161</v>
      </c>
      <c r="E14" s="9"/>
      <c r="F14" s="65" t="s">
        <v>1194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77" t="s">
        <v>1106</v>
      </c>
      <c r="C15" s="1" t="s">
        <v>1109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44505</v>
      </c>
      <c r="B20" s="1" t="s">
        <v>45</v>
      </c>
      <c r="C20" s="1" t="s">
        <v>1024</v>
      </c>
      <c r="D20" s="12"/>
      <c r="E20" s="1"/>
      <c r="F20" s="83">
        <v>194591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44513</v>
      </c>
      <c r="B21" s="1" t="s">
        <v>48</v>
      </c>
      <c r="C21" s="1" t="s">
        <v>49</v>
      </c>
      <c r="D21" s="12">
        <f>D5+D11+14</f>
        <v>101.99</v>
      </c>
      <c r="E21" s="1"/>
      <c r="F21" s="74">
        <v>712626</v>
      </c>
      <c r="H21" s="1"/>
      <c r="I21" s="1"/>
      <c r="J21" s="18"/>
      <c r="K21" s="1"/>
      <c r="L21" s="1"/>
      <c r="M21" s="1"/>
      <c r="N21" s="1"/>
    </row>
    <row r="22" spans="1:14">
      <c r="A22" s="53">
        <v>44513</v>
      </c>
      <c r="B22" s="1" t="s">
        <v>27</v>
      </c>
      <c r="C22" s="1" t="s">
        <v>43</v>
      </c>
      <c r="D22" s="12">
        <v>1</v>
      </c>
      <c r="E22" s="1"/>
      <c r="F22" s="63" t="s">
        <v>1192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2997.3399999999997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5462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2464.6600000000003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616.16500000000008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241.16500000000008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FAF0-615D-495F-8285-442673B8F4BE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5" t="s">
        <v>1195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44533</v>
      </c>
      <c r="B3" s="7" t="s">
        <v>6</v>
      </c>
      <c r="C3" s="1" t="s">
        <v>359</v>
      </c>
      <c r="D3" s="8">
        <v>1175.48</v>
      </c>
      <c r="E3" s="9"/>
      <c r="F3" s="73" t="s">
        <v>1196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44531</v>
      </c>
      <c r="B4" s="7" t="s">
        <v>10</v>
      </c>
      <c r="C4" s="1" t="s">
        <v>13</v>
      </c>
      <c r="D4" s="12">
        <v>153.79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44533</v>
      </c>
      <c r="B6" s="56" t="s">
        <v>303</v>
      </c>
      <c r="C6" s="1" t="s">
        <v>767</v>
      </c>
      <c r="D6" s="12">
        <v>119</v>
      </c>
      <c r="E6" s="9"/>
      <c r="F6" s="81">
        <v>5427686697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44539</v>
      </c>
      <c r="B7" s="7" t="s">
        <v>155</v>
      </c>
      <c r="C7" s="1" t="s">
        <v>16</v>
      </c>
      <c r="D7" s="12">
        <v>84</v>
      </c>
      <c r="E7" s="12"/>
      <c r="F7" s="82" t="s">
        <v>1198</v>
      </c>
      <c r="H7" s="7"/>
      <c r="I7" s="7"/>
      <c r="J7" s="17"/>
      <c r="K7" s="7"/>
      <c r="L7" s="7"/>
      <c r="M7" s="7"/>
      <c r="N7" s="7"/>
    </row>
    <row r="8" spans="1:14">
      <c r="A8" s="51">
        <v>44547</v>
      </c>
      <c r="B8" s="7" t="s">
        <v>21</v>
      </c>
      <c r="C8" s="1" t="s">
        <v>23</v>
      </c>
      <c r="D8" s="12">
        <v>545.78</v>
      </c>
      <c r="E8" s="9"/>
      <c r="F8" s="65" t="s">
        <v>1199</v>
      </c>
      <c r="H8" s="11"/>
      <c r="I8" s="11"/>
      <c r="J8" s="19"/>
      <c r="K8" s="11"/>
      <c r="L8" s="11"/>
      <c r="M8" s="11"/>
      <c r="N8" s="11"/>
    </row>
    <row r="9" spans="1:14">
      <c r="A9" s="51">
        <v>44536</v>
      </c>
      <c r="B9" s="7" t="s">
        <v>21</v>
      </c>
      <c r="C9" s="1" t="s">
        <v>25</v>
      </c>
      <c r="D9" s="12">
        <v>30.25</v>
      </c>
      <c r="E9" s="16"/>
      <c r="F9" s="83" t="s">
        <v>1197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44547</v>
      </c>
      <c r="B10" s="7" t="s">
        <v>27</v>
      </c>
      <c r="C10" s="1" t="s">
        <v>28</v>
      </c>
      <c r="D10" s="12">
        <v>83.95</v>
      </c>
      <c r="E10" s="16"/>
      <c r="F10">
        <v>885045608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44547</v>
      </c>
      <c r="B12" s="7" t="s">
        <v>31</v>
      </c>
      <c r="C12" s="1" t="s">
        <v>186</v>
      </c>
      <c r="D12" s="12">
        <v>53.1</v>
      </c>
      <c r="E12" s="9"/>
      <c r="F12" s="84">
        <v>17373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44547</v>
      </c>
      <c r="B13" s="7" t="s">
        <v>863</v>
      </c>
      <c r="C13" s="1" t="s">
        <v>864</v>
      </c>
      <c r="D13" s="12">
        <v>510</v>
      </c>
      <c r="E13" s="12"/>
      <c r="F13" s="65" t="s">
        <v>1201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44547</v>
      </c>
      <c r="B14" s="7" t="s">
        <v>367</v>
      </c>
      <c r="C14" s="1" t="s">
        <v>35</v>
      </c>
      <c r="D14" s="12">
        <v>161</v>
      </c>
      <c r="E14" s="9"/>
      <c r="F14" s="65" t="s">
        <v>1202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77" t="s">
        <v>1106</v>
      </c>
      <c r="C15" s="1" t="s">
        <v>1109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44536</v>
      </c>
      <c r="B20" s="1" t="s">
        <v>45</v>
      </c>
      <c r="C20" s="1" t="s">
        <v>1024</v>
      </c>
      <c r="D20" s="12"/>
      <c r="E20" s="1"/>
      <c r="F20" s="83">
        <v>385397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44539</v>
      </c>
      <c r="B21" s="1" t="s">
        <v>48</v>
      </c>
      <c r="C21" s="1" t="s">
        <v>49</v>
      </c>
      <c r="D21" s="12">
        <f>D5+D11+14</f>
        <v>101.99</v>
      </c>
      <c r="E21" s="1"/>
      <c r="F21" s="74">
        <v>781634</v>
      </c>
      <c r="H21" s="1"/>
      <c r="I21" s="1"/>
      <c r="J21" s="18"/>
      <c r="K21" s="1"/>
      <c r="L21" s="1"/>
      <c r="M21" s="1"/>
      <c r="N21" s="1"/>
    </row>
    <row r="22" spans="1:14">
      <c r="A22" s="53">
        <v>44547</v>
      </c>
      <c r="B22" s="1" t="s">
        <v>27</v>
      </c>
      <c r="C22" s="1" t="s">
        <v>43</v>
      </c>
      <c r="D22" s="12">
        <v>1</v>
      </c>
      <c r="E22" s="1"/>
      <c r="F22" s="63" t="s">
        <v>1200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44547</v>
      </c>
      <c r="B24" s="1" t="s">
        <v>51</v>
      </c>
      <c r="C24" s="1" t="s">
        <v>932</v>
      </c>
      <c r="D24">
        <v>0</v>
      </c>
      <c r="E24" s="1"/>
      <c r="F24" s="65" t="s">
        <v>1203</v>
      </c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3005.3399999999997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5462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2456.6600000000003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614.16500000000008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239.16500000000008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037B-2ACE-4EC0-88F2-43C83E42F00B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5" t="s">
        <v>1204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44562</v>
      </c>
      <c r="B3" s="7" t="s">
        <v>6</v>
      </c>
      <c r="C3" s="1" t="s">
        <v>359</v>
      </c>
      <c r="D3" s="8">
        <v>1175.48</v>
      </c>
      <c r="E3" s="9"/>
      <c r="F3" s="73" t="s">
        <v>1205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44562</v>
      </c>
      <c r="B4" s="7" t="s">
        <v>10</v>
      </c>
      <c r="C4" s="1" t="s">
        <v>13</v>
      </c>
      <c r="D4" s="12">
        <v>153.79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44562</v>
      </c>
      <c r="B6" s="56" t="s">
        <v>303</v>
      </c>
      <c r="C6" s="1" t="s">
        <v>767</v>
      </c>
      <c r="D6" s="12">
        <v>119</v>
      </c>
      <c r="E6" s="9"/>
      <c r="F6" s="81">
        <v>1735833478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44562</v>
      </c>
      <c r="B7" s="7" t="s">
        <v>155</v>
      </c>
      <c r="C7" s="1" t="s">
        <v>16</v>
      </c>
      <c r="D7" s="12">
        <v>84</v>
      </c>
      <c r="E7" s="12"/>
      <c r="F7" s="82" t="s">
        <v>1206</v>
      </c>
      <c r="H7" s="7"/>
      <c r="I7" s="7"/>
      <c r="J7" s="17"/>
      <c r="K7" s="7"/>
      <c r="L7" s="7"/>
      <c r="M7" s="7"/>
      <c r="N7" s="7"/>
    </row>
    <row r="8" spans="1:14">
      <c r="A8" s="51">
        <v>44575</v>
      </c>
      <c r="B8" s="7" t="s">
        <v>21</v>
      </c>
      <c r="C8" s="1" t="s">
        <v>23</v>
      </c>
      <c r="D8" s="12">
        <v>545.78</v>
      </c>
      <c r="E8" s="9"/>
      <c r="F8" s="65" t="s">
        <v>1207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8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44575</v>
      </c>
      <c r="B10" s="7" t="s">
        <v>27</v>
      </c>
      <c r="C10" s="1" t="s">
        <v>28</v>
      </c>
      <c r="D10" s="12">
        <v>79.95</v>
      </c>
      <c r="E10" s="16"/>
      <c r="F10" t="s">
        <v>1208</v>
      </c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27</v>
      </c>
      <c r="C11" s="1" t="s">
        <v>333</v>
      </c>
      <c r="D11" s="12">
        <v>74</v>
      </c>
      <c r="E11" s="9"/>
      <c r="F11" s="61"/>
      <c r="H11" s="11"/>
      <c r="I11" s="11"/>
      <c r="J11" s="19"/>
      <c r="K11" s="11"/>
      <c r="L11" s="11"/>
      <c r="M11" s="11"/>
      <c r="N11" s="11"/>
    </row>
    <row r="12" spans="1:14">
      <c r="A12" s="51">
        <v>44575</v>
      </c>
      <c r="B12" s="7" t="s">
        <v>31</v>
      </c>
      <c r="C12" s="1" t="s">
        <v>186</v>
      </c>
      <c r="D12" s="12">
        <v>53.1</v>
      </c>
      <c r="E12" s="9"/>
      <c r="F12" s="84" t="s">
        <v>1210</v>
      </c>
      <c r="G12" s="20"/>
      <c r="H12" s="11"/>
      <c r="I12" s="11"/>
      <c r="J12" s="19"/>
      <c r="K12" s="11"/>
      <c r="L12" s="11"/>
      <c r="M12" s="11"/>
      <c r="N12" s="11"/>
    </row>
    <row r="13" spans="1:14">
      <c r="A13" s="51">
        <v>44588</v>
      </c>
      <c r="B13" s="7" t="s">
        <v>863</v>
      </c>
      <c r="C13" s="1" t="s">
        <v>864</v>
      </c>
      <c r="D13" s="12">
        <v>510</v>
      </c>
      <c r="E13" s="12"/>
      <c r="F13" s="65" t="s">
        <v>1212</v>
      </c>
      <c r="G13" s="35"/>
      <c r="H13" s="1"/>
      <c r="I13" s="1"/>
      <c r="J13" s="18"/>
      <c r="K13" s="1"/>
      <c r="L13" s="1"/>
      <c r="M13" s="1"/>
      <c r="N13" s="1"/>
    </row>
    <row r="14" spans="1:14">
      <c r="A14" s="51">
        <v>44588</v>
      </c>
      <c r="B14" s="7" t="s">
        <v>367</v>
      </c>
      <c r="C14" s="1" t="s">
        <v>35</v>
      </c>
      <c r="D14" s="12">
        <v>161</v>
      </c>
      <c r="E14" s="9"/>
      <c r="F14" s="65" t="s">
        <v>1213</v>
      </c>
      <c r="G14" s="7"/>
      <c r="H14" s="7"/>
      <c r="I14" s="7"/>
      <c r="J14" s="17"/>
      <c r="K14" s="7"/>
      <c r="L14" s="7"/>
      <c r="M14" s="7"/>
      <c r="N14" s="7"/>
    </row>
    <row r="15" spans="1:14">
      <c r="A15" s="51" t="s">
        <v>9</v>
      </c>
      <c r="B15" s="77" t="s">
        <v>1106</v>
      </c>
      <c r="C15" s="1" t="s">
        <v>1109</v>
      </c>
      <c r="D15" s="12">
        <v>0</v>
      </c>
      <c r="E15" s="9"/>
      <c r="F15" s="65"/>
      <c r="G15" s="7"/>
      <c r="H15" s="7"/>
      <c r="I15" s="7"/>
      <c r="J15" s="17"/>
      <c r="K15" s="7"/>
      <c r="L15" s="7"/>
      <c r="M15" s="7"/>
      <c r="N15" s="7"/>
    </row>
    <row r="16" spans="1:14">
      <c r="A16" s="52"/>
      <c r="B16" s="7"/>
      <c r="C16" s="1"/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/>
      <c r="B17" s="1"/>
      <c r="C17" s="1"/>
      <c r="D17" s="12">
        <v>0</v>
      </c>
      <c r="E17" s="1"/>
      <c r="F17" s="65"/>
      <c r="G17" s="1"/>
      <c r="H17" s="68"/>
      <c r="I17" s="1"/>
      <c r="J17" s="18"/>
      <c r="K17" s="1"/>
      <c r="L17" s="1"/>
      <c r="M17" s="1"/>
      <c r="N17" s="1"/>
    </row>
    <row r="18" spans="1:14">
      <c r="A18" s="52"/>
      <c r="B18" s="1"/>
      <c r="C18" s="22" t="s">
        <v>37</v>
      </c>
      <c r="D18" s="1"/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44568</v>
      </c>
      <c r="B20" s="1" t="s">
        <v>45</v>
      </c>
      <c r="C20" s="1" t="s">
        <v>1024</v>
      </c>
      <c r="D20" s="12"/>
      <c r="E20" s="1"/>
      <c r="F20" s="83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44575</v>
      </c>
      <c r="B21" s="1" t="s">
        <v>48</v>
      </c>
      <c r="C21" s="1" t="s">
        <v>49</v>
      </c>
      <c r="D21" s="12">
        <f>D5+D11+14</f>
        <v>101.99</v>
      </c>
      <c r="E21" s="1"/>
      <c r="F21" s="74">
        <v>372462</v>
      </c>
      <c r="H21" s="1"/>
      <c r="I21" s="1"/>
      <c r="J21" s="18"/>
      <c r="K21" s="1"/>
      <c r="L21" s="1"/>
      <c r="M21" s="1"/>
      <c r="N21" s="1"/>
    </row>
    <row r="22" spans="1:14">
      <c r="A22" s="53">
        <v>44575</v>
      </c>
      <c r="B22" s="1" t="s">
        <v>27</v>
      </c>
      <c r="C22" s="1" t="s">
        <v>43</v>
      </c>
      <c r="D22" s="12">
        <v>1</v>
      </c>
      <c r="E22" s="1"/>
      <c r="F22" s="63" t="s">
        <v>1209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>
        <v>44575</v>
      </c>
      <c r="B24" s="1" t="s">
        <v>51</v>
      </c>
      <c r="C24" s="1" t="s">
        <v>932</v>
      </c>
      <c r="D24">
        <v>0</v>
      </c>
      <c r="E24" s="1"/>
      <c r="F24" s="65" t="s">
        <v>1211</v>
      </c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3001.3399999999997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5462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2460.6600000000003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615.16500000000008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240.16500000000008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AD43-A322-44DF-B70B-077335C761B9}">
  <dimension ref="A1:N48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115" t="s">
        <v>1214</v>
      </c>
      <c r="B1" s="114"/>
      <c r="C1" s="114"/>
      <c r="D1" s="114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44588</v>
      </c>
      <c r="B3" s="7" t="s">
        <v>6</v>
      </c>
      <c r="C3" s="1" t="s">
        <v>359</v>
      </c>
      <c r="D3" s="8">
        <v>1175.48</v>
      </c>
      <c r="E3" s="9"/>
      <c r="F3" s="73" t="s">
        <v>1215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44588</v>
      </c>
      <c r="B4" s="7" t="s">
        <v>10</v>
      </c>
      <c r="C4" s="1" t="s">
        <v>13</v>
      </c>
      <c r="D4" s="12">
        <v>153.79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44603</v>
      </c>
      <c r="B6" s="56" t="s">
        <v>303</v>
      </c>
      <c r="C6" s="1" t="s">
        <v>767</v>
      </c>
      <c r="D6" s="12">
        <v>119</v>
      </c>
      <c r="E6" s="9"/>
      <c r="F6" s="81">
        <v>2948365224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44603</v>
      </c>
      <c r="B7" s="7" t="s">
        <v>155</v>
      </c>
      <c r="C7" s="1" t="s">
        <v>16</v>
      </c>
      <c r="D7" s="12">
        <v>84</v>
      </c>
      <c r="E7" s="12"/>
      <c r="F7" s="82" t="s">
        <v>1217</v>
      </c>
      <c r="H7" s="7"/>
      <c r="I7" s="7"/>
      <c r="J7" s="17"/>
      <c r="K7" s="7"/>
      <c r="L7" s="7"/>
      <c r="M7" s="7"/>
      <c r="N7" s="7"/>
    </row>
    <row r="8" spans="1:14">
      <c r="A8" s="85">
        <v>44603</v>
      </c>
      <c r="B8" s="7" t="s">
        <v>21</v>
      </c>
      <c r="C8" s="1" t="s">
        <v>23</v>
      </c>
      <c r="D8" s="12">
        <v>545.78</v>
      </c>
      <c r="E8" s="9"/>
      <c r="F8" s="65" t="s">
        <v>1218</v>
      </c>
      <c r="H8" s="11"/>
      <c r="I8" s="11"/>
      <c r="J8" s="19"/>
      <c r="K8" s="11"/>
      <c r="L8" s="11"/>
      <c r="M8" s="11"/>
      <c r="N8" s="11"/>
    </row>
    <row r="9" spans="1:14">
      <c r="A9" s="51">
        <v>44599</v>
      </c>
      <c r="B9" s="7" t="s">
        <v>21</v>
      </c>
      <c r="C9" s="1" t="s">
        <v>25</v>
      </c>
      <c r="D9" s="12">
        <v>30.25</v>
      </c>
      <c r="E9" s="16"/>
      <c r="F9" s="83" t="s">
        <v>1216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44603</v>
      </c>
      <c r="B10" s="7" t="s">
        <v>27</v>
      </c>
      <c r="C10" s="1" t="s">
        <v>28</v>
      </c>
      <c r="D10" s="12">
        <v>79.95</v>
      </c>
      <c r="E10" s="16"/>
      <c r="F10" t="s">
        <v>1219</v>
      </c>
      <c r="H10" s="11"/>
      <c r="I10" s="11"/>
      <c r="J10" s="19"/>
      <c r="K10" s="11"/>
      <c r="L10" s="11"/>
      <c r="M10" s="11"/>
      <c r="N10" s="11"/>
    </row>
    <row r="11" spans="1:14">
      <c r="A11" s="51">
        <v>44603</v>
      </c>
      <c r="B11" s="7" t="s">
        <v>31</v>
      </c>
      <c r="C11" s="1" t="s">
        <v>186</v>
      </c>
      <c r="D11" s="12">
        <v>53.1</v>
      </c>
      <c r="E11" s="9"/>
      <c r="F11" s="84" t="s">
        <v>1220</v>
      </c>
      <c r="G11" s="20"/>
      <c r="H11" s="11"/>
      <c r="I11" s="11"/>
      <c r="J11" s="19"/>
      <c r="K11" s="11"/>
      <c r="L11" s="11"/>
      <c r="M11" s="11"/>
      <c r="N11" s="11"/>
    </row>
    <row r="12" spans="1:14">
      <c r="A12" s="51">
        <v>44617</v>
      </c>
      <c r="B12" s="7" t="s">
        <v>863</v>
      </c>
      <c r="C12" s="1" t="s">
        <v>864</v>
      </c>
      <c r="D12" s="12">
        <v>510</v>
      </c>
      <c r="E12" s="12"/>
      <c r="F12" s="65" t="s">
        <v>1226</v>
      </c>
      <c r="G12" s="35"/>
      <c r="H12" s="1"/>
      <c r="I12" s="1"/>
      <c r="J12" s="18"/>
      <c r="K12" s="1"/>
      <c r="L12" s="1"/>
      <c r="M12" s="1"/>
      <c r="N12" s="1"/>
    </row>
    <row r="13" spans="1:14">
      <c r="A13" s="51">
        <v>44617</v>
      </c>
      <c r="B13" s="7" t="s">
        <v>367</v>
      </c>
      <c r="C13" s="1" t="s">
        <v>35</v>
      </c>
      <c r="D13" s="12">
        <v>161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1" t="s">
        <v>9</v>
      </c>
      <c r="B14" s="77" t="s">
        <v>1224</v>
      </c>
      <c r="C14" s="1" t="s">
        <v>1223</v>
      </c>
      <c r="D14" s="12">
        <v>0</v>
      </c>
      <c r="E14" s="9"/>
      <c r="F14" s="65" t="s">
        <v>1225</v>
      </c>
      <c r="G14" s="7"/>
      <c r="H14" s="7"/>
      <c r="I14" s="7"/>
      <c r="J14" s="17"/>
      <c r="K14" s="7"/>
      <c r="L14" s="7"/>
      <c r="M14" s="7"/>
      <c r="N14" s="7"/>
    </row>
    <row r="15" spans="1:14">
      <c r="A15" s="52"/>
      <c r="B15" s="7"/>
      <c r="C15" s="1"/>
      <c r="D15" s="1"/>
      <c r="E15" s="1"/>
      <c r="F15" s="65"/>
      <c r="G15" s="1"/>
      <c r="H15" s="1"/>
      <c r="I15" s="1"/>
      <c r="J15" s="18"/>
      <c r="K15" s="1"/>
      <c r="L15" s="1"/>
      <c r="M15" s="1"/>
      <c r="N15" s="1"/>
    </row>
    <row r="16" spans="1:14">
      <c r="A16" s="52"/>
      <c r="B16" s="1"/>
      <c r="C16" s="1"/>
      <c r="D16" s="12">
        <v>0</v>
      </c>
      <c r="E16" s="1"/>
      <c r="F16" s="65"/>
      <c r="G16" s="1"/>
      <c r="H16" s="68"/>
      <c r="I16" s="1"/>
      <c r="J16" s="18"/>
      <c r="K16" s="1"/>
      <c r="L16" s="1"/>
      <c r="M16" s="1"/>
      <c r="N16" s="1"/>
    </row>
    <row r="17" spans="1:14">
      <c r="A17" s="52"/>
      <c r="B17" s="1"/>
      <c r="C17" s="22" t="s">
        <v>37</v>
      </c>
      <c r="D17" s="1"/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>
        <v>44601</v>
      </c>
      <c r="B19" s="1" t="s">
        <v>45</v>
      </c>
      <c r="C19" s="1" t="s">
        <v>1024</v>
      </c>
      <c r="D19" s="12"/>
      <c r="E19" s="1"/>
      <c r="F19" s="83">
        <v>642151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44603</v>
      </c>
      <c r="B20" s="1" t="s">
        <v>48</v>
      </c>
      <c r="C20" s="1" t="s">
        <v>49</v>
      </c>
      <c r="D20" s="12">
        <f>D5</f>
        <v>13.99</v>
      </c>
      <c r="E20" s="1"/>
      <c r="F20" s="74">
        <v>411080</v>
      </c>
      <c r="H20" s="1"/>
      <c r="I20" s="1"/>
      <c r="J20" s="18"/>
      <c r="K20" s="1"/>
      <c r="L20" s="1"/>
      <c r="M20" s="1"/>
      <c r="N20" s="1"/>
    </row>
    <row r="21" spans="1:14">
      <c r="A21" s="53">
        <v>44603</v>
      </c>
      <c r="B21" s="1" t="s">
        <v>27</v>
      </c>
      <c r="C21" s="1" t="s">
        <v>43</v>
      </c>
      <c r="D21" s="12">
        <v>1</v>
      </c>
      <c r="E21" s="1"/>
      <c r="F21" s="63" t="s">
        <v>1221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52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44603</v>
      </c>
      <c r="B23" s="1" t="s">
        <v>51</v>
      </c>
      <c r="C23" s="1" t="s">
        <v>932</v>
      </c>
      <c r="D23">
        <v>0</v>
      </c>
      <c r="E23" s="1"/>
      <c r="F23" s="65" t="s">
        <v>1222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54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2927.3399999999997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5462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2534.6600000000003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633.66500000000008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258.66500000000008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DB90-E38A-43BC-81ED-B42EFF51CCDF}">
  <dimension ref="A1:N48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1227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44617</v>
      </c>
      <c r="B3" s="7" t="s">
        <v>6</v>
      </c>
      <c r="C3" s="1" t="s">
        <v>359</v>
      </c>
      <c r="D3" s="8">
        <v>1175.48</v>
      </c>
      <c r="E3" s="9"/>
      <c r="F3" s="73" t="s">
        <v>1228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44617</v>
      </c>
      <c r="B4" s="7" t="s">
        <v>10</v>
      </c>
      <c r="C4" s="1" t="s">
        <v>13</v>
      </c>
      <c r="D4" s="12">
        <v>153.79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44631</v>
      </c>
      <c r="B6" s="56" t="s">
        <v>303</v>
      </c>
      <c r="C6" s="1" t="s">
        <v>767</v>
      </c>
      <c r="D6" s="12">
        <v>119</v>
      </c>
      <c r="E6" s="9"/>
      <c r="F6" s="81">
        <v>2757241516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44631</v>
      </c>
      <c r="B7" s="7" t="s">
        <v>155</v>
      </c>
      <c r="C7" s="1" t="s">
        <v>16</v>
      </c>
      <c r="D7" s="12">
        <v>84</v>
      </c>
      <c r="E7" s="12"/>
      <c r="F7" s="82" t="s">
        <v>1229</v>
      </c>
      <c r="H7" s="7"/>
      <c r="I7" s="7"/>
      <c r="J7" s="17"/>
      <c r="K7" s="7"/>
      <c r="L7" s="7"/>
      <c r="M7" s="7"/>
      <c r="N7" s="7"/>
    </row>
    <row r="8" spans="1:14">
      <c r="A8" s="85">
        <v>44631</v>
      </c>
      <c r="B8" s="7" t="s">
        <v>21</v>
      </c>
      <c r="C8" s="1" t="s">
        <v>23</v>
      </c>
      <c r="D8" s="12">
        <v>545.78</v>
      </c>
      <c r="E8" s="9"/>
      <c r="F8" s="65" t="s">
        <v>1230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8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44631</v>
      </c>
      <c r="B10" s="7" t="s">
        <v>27</v>
      </c>
      <c r="C10" s="1" t="s">
        <v>28</v>
      </c>
      <c r="D10" s="12">
        <v>79.95</v>
      </c>
      <c r="E10" s="16"/>
      <c r="F10" t="s">
        <v>1231</v>
      </c>
      <c r="H10" s="11"/>
      <c r="I10" s="11"/>
      <c r="J10" s="19"/>
      <c r="K10" s="11"/>
      <c r="L10" s="11"/>
      <c r="M10" s="11"/>
      <c r="N10" s="11"/>
    </row>
    <row r="11" spans="1:14">
      <c r="A11" s="51">
        <v>44631</v>
      </c>
      <c r="B11" s="7" t="s">
        <v>31</v>
      </c>
      <c r="C11" s="1" t="s">
        <v>186</v>
      </c>
      <c r="D11" s="12">
        <v>53.1</v>
      </c>
      <c r="E11" s="9"/>
      <c r="F11" s="84" t="s">
        <v>1232</v>
      </c>
      <c r="G11" s="20"/>
      <c r="H11" s="11"/>
      <c r="I11" s="11"/>
      <c r="J11" s="19"/>
      <c r="K11" s="11"/>
      <c r="L11" s="11"/>
      <c r="M11" s="11"/>
      <c r="N11" s="11"/>
    </row>
    <row r="12" spans="1:14">
      <c r="A12" s="51">
        <v>44645</v>
      </c>
      <c r="B12" s="7" t="s">
        <v>863</v>
      </c>
      <c r="C12" s="1" t="s">
        <v>864</v>
      </c>
      <c r="D12" s="12">
        <v>510</v>
      </c>
      <c r="E12" s="12"/>
      <c r="F12" s="65" t="s">
        <v>1236</v>
      </c>
      <c r="G12" s="35"/>
      <c r="H12" s="1"/>
      <c r="I12" s="1"/>
      <c r="J12" s="18"/>
      <c r="K12" s="1"/>
      <c r="L12" s="1"/>
      <c r="M12" s="1"/>
      <c r="N12" s="1"/>
    </row>
    <row r="13" spans="1:14">
      <c r="A13" s="51">
        <v>44645</v>
      </c>
      <c r="B13" s="7" t="s">
        <v>367</v>
      </c>
      <c r="C13" s="1" t="s">
        <v>35</v>
      </c>
      <c r="D13" s="12">
        <v>161</v>
      </c>
      <c r="E13" s="9"/>
      <c r="F13" s="65" t="s">
        <v>1237</v>
      </c>
      <c r="G13" s="7"/>
      <c r="H13" s="7"/>
      <c r="I13" s="7"/>
      <c r="J13" s="17"/>
      <c r="K13" s="7"/>
      <c r="L13" s="7"/>
      <c r="M13" s="7"/>
      <c r="N13" s="7"/>
    </row>
    <row r="14" spans="1:14">
      <c r="A14" s="51" t="s">
        <v>9</v>
      </c>
      <c r="B14" s="77" t="s">
        <v>1224</v>
      </c>
      <c r="C14" s="1" t="s">
        <v>1223</v>
      </c>
      <c r="D14" s="12">
        <v>0</v>
      </c>
      <c r="E14" s="9"/>
      <c r="F14" s="65"/>
      <c r="G14" s="7"/>
      <c r="H14" s="7"/>
      <c r="I14" s="7"/>
      <c r="J14" s="17"/>
      <c r="K14" s="7"/>
      <c r="L14" s="7"/>
      <c r="M14" s="7"/>
      <c r="N14" s="7"/>
    </row>
    <row r="15" spans="1:14">
      <c r="A15" s="52"/>
      <c r="B15" s="7"/>
      <c r="C15" s="1"/>
      <c r="D15" s="1"/>
      <c r="E15" s="1"/>
      <c r="F15" s="65"/>
      <c r="G15" s="1"/>
      <c r="H15" s="1"/>
      <c r="I15" s="1"/>
      <c r="J15" s="18"/>
      <c r="K15" s="1"/>
      <c r="L15" s="1"/>
      <c r="M15" s="1"/>
      <c r="N15" s="1"/>
    </row>
    <row r="16" spans="1:14">
      <c r="A16" s="52"/>
      <c r="B16" s="1"/>
      <c r="C16" s="1"/>
      <c r="D16" s="12">
        <v>0</v>
      </c>
      <c r="E16" s="1"/>
      <c r="F16" s="65"/>
      <c r="G16" s="1"/>
      <c r="H16" s="68"/>
      <c r="I16" s="1"/>
      <c r="J16" s="18"/>
      <c r="K16" s="1"/>
      <c r="L16" s="1"/>
      <c r="M16" s="1"/>
      <c r="N16" s="1"/>
    </row>
    <row r="17" spans="1:14">
      <c r="A17" s="52"/>
      <c r="B17" s="1"/>
      <c r="C17" s="22" t="s">
        <v>37</v>
      </c>
      <c r="D17" s="1"/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>
        <v>44627</v>
      </c>
      <c r="B19" s="1" t="s">
        <v>45</v>
      </c>
      <c r="C19" s="1" t="s">
        <v>1024</v>
      </c>
      <c r="D19" s="12"/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44631</v>
      </c>
      <c r="B20" s="1" t="s">
        <v>48</v>
      </c>
      <c r="C20" s="1" t="s">
        <v>49</v>
      </c>
      <c r="D20" s="12">
        <f>D5</f>
        <v>13.99</v>
      </c>
      <c r="E20" s="1"/>
      <c r="F20" s="74">
        <v>668433</v>
      </c>
      <c r="H20" s="1"/>
      <c r="I20" s="1"/>
      <c r="J20" s="18"/>
      <c r="K20" s="1"/>
      <c r="L20" s="1"/>
      <c r="M20" s="1"/>
      <c r="N20" s="1"/>
    </row>
    <row r="21" spans="1:14">
      <c r="A21" s="53">
        <v>44631</v>
      </c>
      <c r="B21" s="1" t="s">
        <v>27</v>
      </c>
      <c r="C21" s="1" t="s">
        <v>43</v>
      </c>
      <c r="D21" s="12">
        <v>1</v>
      </c>
      <c r="E21" s="1"/>
      <c r="F21" s="63" t="s">
        <v>1233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52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44631</v>
      </c>
      <c r="B23" s="1" t="s">
        <v>51</v>
      </c>
      <c r="C23" s="1" t="s">
        <v>932</v>
      </c>
      <c r="D23">
        <v>0</v>
      </c>
      <c r="E23" s="1"/>
      <c r="F23" s="65" t="s">
        <v>1234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>
        <v>44631</v>
      </c>
      <c r="B25" s="1" t="s">
        <v>38</v>
      </c>
      <c r="C25" s="1" t="s">
        <v>39</v>
      </c>
      <c r="D25" s="23">
        <v>0</v>
      </c>
      <c r="E25" s="1"/>
      <c r="F25" s="65" t="s">
        <v>1235</v>
      </c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54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2927.3399999999997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5462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2534.6600000000003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633.66500000000008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258.66500000000008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E548-4812-46A0-BB29-D93878EDBB01}">
  <dimension ref="A1:N48"/>
  <sheetViews>
    <sheetView workbookViewId="0">
      <selection activeCell="F31" sqref="F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1238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44652</v>
      </c>
      <c r="B3" s="7" t="s">
        <v>6</v>
      </c>
      <c r="C3" s="1" t="s">
        <v>359</v>
      </c>
      <c r="D3" s="8">
        <v>1175.48</v>
      </c>
      <c r="E3" s="9"/>
      <c r="F3" s="73" t="s">
        <v>1240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44652</v>
      </c>
      <c r="B4" s="7" t="s">
        <v>10</v>
      </c>
      <c r="C4" s="1" t="s">
        <v>13</v>
      </c>
      <c r="D4" s="12">
        <v>153.79</v>
      </c>
      <c r="E4" s="9"/>
      <c r="F4" s="64" t="s">
        <v>1239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44659</v>
      </c>
      <c r="B6" s="56" t="s">
        <v>303</v>
      </c>
      <c r="C6" s="1" t="s">
        <v>767</v>
      </c>
      <c r="D6" s="12">
        <v>119</v>
      </c>
      <c r="E6" s="9"/>
      <c r="F6" s="81">
        <v>5065373821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44659</v>
      </c>
      <c r="B7" s="7" t="s">
        <v>155</v>
      </c>
      <c r="C7" s="1" t="s">
        <v>16</v>
      </c>
      <c r="D7" s="12">
        <v>84</v>
      </c>
      <c r="E7" s="12"/>
      <c r="F7" s="82" t="s">
        <v>1242</v>
      </c>
      <c r="H7" s="7"/>
      <c r="I7" s="7"/>
      <c r="J7" s="17"/>
      <c r="K7" s="7"/>
      <c r="L7" s="7"/>
      <c r="M7" s="7"/>
      <c r="N7" s="7"/>
    </row>
    <row r="8" spans="1:14">
      <c r="A8" s="85">
        <v>44659</v>
      </c>
      <c r="B8" s="7" t="s">
        <v>21</v>
      </c>
      <c r="C8" s="1" t="s">
        <v>23</v>
      </c>
      <c r="D8" s="12">
        <v>545.78</v>
      </c>
      <c r="E8" s="9"/>
      <c r="F8" s="65" t="s">
        <v>1243</v>
      </c>
      <c r="H8" s="11"/>
      <c r="I8" s="11"/>
      <c r="J8" s="19"/>
      <c r="K8" s="11"/>
      <c r="L8" s="11"/>
      <c r="M8" s="11"/>
      <c r="N8" s="11"/>
    </row>
    <row r="9" spans="1:14">
      <c r="A9" s="51">
        <v>44653</v>
      </c>
      <c r="B9" s="7" t="s">
        <v>21</v>
      </c>
      <c r="C9" s="1" t="s">
        <v>25</v>
      </c>
      <c r="D9" s="12">
        <v>30.25</v>
      </c>
      <c r="E9" s="16"/>
      <c r="F9" s="83" t="s">
        <v>1241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44673</v>
      </c>
      <c r="B10" s="7" t="s">
        <v>27</v>
      </c>
      <c r="C10" s="1" t="s">
        <v>28</v>
      </c>
      <c r="D10" s="12">
        <v>79.95</v>
      </c>
      <c r="E10" s="16"/>
      <c r="F10">
        <v>921187433</v>
      </c>
      <c r="H10" s="11"/>
      <c r="I10" s="11"/>
      <c r="J10" s="19"/>
      <c r="K10" s="11"/>
      <c r="L10" s="11"/>
      <c r="M10" s="11"/>
      <c r="N10" s="11"/>
    </row>
    <row r="11" spans="1:14">
      <c r="A11" s="51">
        <v>44663</v>
      </c>
      <c r="B11" s="7" t="s">
        <v>31</v>
      </c>
      <c r="C11" s="1" t="s">
        <v>186</v>
      </c>
      <c r="D11" s="12">
        <v>53.1</v>
      </c>
      <c r="E11" s="9"/>
      <c r="F11" s="84"/>
      <c r="G11" s="20"/>
      <c r="H11" s="11"/>
      <c r="I11" s="11"/>
      <c r="J11" s="19"/>
      <c r="K11" s="11"/>
      <c r="L11" s="11"/>
      <c r="M11" s="11"/>
      <c r="N11" s="11"/>
    </row>
    <row r="12" spans="1:14">
      <c r="A12" s="51">
        <v>44673</v>
      </c>
      <c r="B12" s="7" t="s">
        <v>863</v>
      </c>
      <c r="C12" s="1" t="s">
        <v>864</v>
      </c>
      <c r="D12" s="12">
        <v>510</v>
      </c>
      <c r="E12" s="12"/>
      <c r="F12" s="65" t="s">
        <v>1248</v>
      </c>
      <c r="G12" s="35"/>
      <c r="H12" s="1"/>
      <c r="I12" s="1"/>
      <c r="J12" s="18"/>
      <c r="K12" s="1"/>
      <c r="L12" s="1"/>
      <c r="M12" s="1"/>
      <c r="N12" s="1"/>
    </row>
    <row r="13" spans="1:14">
      <c r="A13" s="51">
        <v>44673</v>
      </c>
      <c r="B13" s="7" t="s">
        <v>367</v>
      </c>
      <c r="C13" s="1" t="s">
        <v>35</v>
      </c>
      <c r="D13" s="12">
        <v>161</v>
      </c>
      <c r="E13" s="9"/>
      <c r="F13" s="65" t="s">
        <v>1247</v>
      </c>
      <c r="G13" s="7"/>
      <c r="H13" s="7"/>
      <c r="I13" s="7"/>
      <c r="J13" s="17"/>
      <c r="K13" s="7"/>
      <c r="L13" s="7"/>
      <c r="M13" s="7"/>
      <c r="N13" s="7"/>
    </row>
    <row r="14" spans="1:14">
      <c r="A14" s="51" t="s">
        <v>9</v>
      </c>
      <c r="B14" s="77" t="s">
        <v>1224</v>
      </c>
      <c r="C14" s="1" t="s">
        <v>1223</v>
      </c>
      <c r="D14" s="12">
        <v>0</v>
      </c>
      <c r="E14" s="9"/>
      <c r="F14" s="65"/>
      <c r="G14" s="7"/>
      <c r="H14" s="7"/>
      <c r="I14" s="7"/>
      <c r="J14" s="17"/>
      <c r="K14" s="7"/>
      <c r="L14" s="7"/>
      <c r="M14" s="7"/>
      <c r="N14" s="7"/>
    </row>
    <row r="15" spans="1:14">
      <c r="A15" s="52"/>
      <c r="B15" s="7"/>
      <c r="C15" s="1"/>
      <c r="D15" s="1"/>
      <c r="E15" s="1"/>
      <c r="F15" s="65"/>
      <c r="G15" s="1"/>
      <c r="H15" s="1"/>
      <c r="I15" s="1"/>
      <c r="J15" s="18"/>
      <c r="K15" s="1"/>
      <c r="L15" s="1"/>
      <c r="M15" s="1"/>
      <c r="N15" s="1"/>
    </row>
    <row r="16" spans="1:14">
      <c r="A16" s="52"/>
      <c r="B16" s="1"/>
      <c r="C16" s="1"/>
      <c r="D16" s="12">
        <v>0</v>
      </c>
      <c r="E16" s="1"/>
      <c r="F16" s="65"/>
      <c r="G16" s="1"/>
      <c r="H16" s="68"/>
      <c r="I16" s="1"/>
      <c r="J16" s="18"/>
      <c r="K16" s="1"/>
      <c r="L16" s="1"/>
      <c r="M16" s="1"/>
      <c r="N16" s="1"/>
    </row>
    <row r="17" spans="1:14">
      <c r="A17" s="52"/>
      <c r="B17" s="1"/>
      <c r="C17" s="22" t="s">
        <v>37</v>
      </c>
      <c r="D17" s="1"/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>
        <v>44659</v>
      </c>
      <c r="B19" s="1" t="s">
        <v>45</v>
      </c>
      <c r="C19" s="1" t="s">
        <v>1024</v>
      </c>
      <c r="D19" s="12"/>
      <c r="E19" s="1"/>
      <c r="F19" s="83">
        <v>394247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44663</v>
      </c>
      <c r="B20" s="1" t="s">
        <v>48</v>
      </c>
      <c r="C20" s="1" t="s">
        <v>49</v>
      </c>
      <c r="D20" s="12">
        <f>D5</f>
        <v>13.99</v>
      </c>
      <c r="E20" s="1"/>
      <c r="F20" s="74">
        <v>609746</v>
      </c>
      <c r="H20" s="1"/>
      <c r="I20" s="1"/>
      <c r="J20" s="18"/>
      <c r="K20" s="1"/>
      <c r="L20" s="1"/>
      <c r="M20" s="1"/>
      <c r="N20" s="1"/>
    </row>
    <row r="21" spans="1:14">
      <c r="A21" s="53">
        <v>44660</v>
      </c>
      <c r="B21" s="1" t="s">
        <v>27</v>
      </c>
      <c r="C21" s="1" t="s">
        <v>43</v>
      </c>
      <c r="D21" s="12">
        <v>1</v>
      </c>
      <c r="E21" s="1"/>
      <c r="F21" s="63" t="s">
        <v>1244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52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44660</v>
      </c>
      <c r="B23" s="1" t="s">
        <v>51</v>
      </c>
      <c r="C23" s="1" t="s">
        <v>932</v>
      </c>
      <c r="D23">
        <v>0</v>
      </c>
      <c r="E23" s="1"/>
      <c r="F23" s="65" t="s">
        <v>1245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54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2927.3399999999997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6200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3272.6600000000003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818.16500000000008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443.16500000000008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DF73-F0F1-40B8-99B8-DB68E5EAE0C2}">
  <dimension ref="A1:N49"/>
  <sheetViews>
    <sheetView workbookViewId="0">
      <selection activeCell="A14" sqref="A1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1246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44680</v>
      </c>
      <c r="B3" s="7" t="s">
        <v>6</v>
      </c>
      <c r="C3" s="1" t="s">
        <v>359</v>
      </c>
      <c r="D3" s="8">
        <v>1175.48</v>
      </c>
      <c r="E3" s="9"/>
      <c r="F3" s="73" t="s">
        <v>1249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44683</v>
      </c>
      <c r="B4" s="7" t="s">
        <v>10</v>
      </c>
      <c r="C4" s="1" t="s">
        <v>13</v>
      </c>
      <c r="D4" s="12">
        <v>153.79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13.99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44687</v>
      </c>
      <c r="B6" s="56" t="s">
        <v>303</v>
      </c>
      <c r="C6" s="1" t="s">
        <v>767</v>
      </c>
      <c r="D6" s="12">
        <v>119</v>
      </c>
      <c r="E6" s="9"/>
      <c r="F6" s="81">
        <v>2973596881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44691</v>
      </c>
      <c r="B7" s="7" t="s">
        <v>155</v>
      </c>
      <c r="C7" s="1" t="s">
        <v>16</v>
      </c>
      <c r="D7" s="12">
        <v>99</v>
      </c>
      <c r="E7" s="12"/>
      <c r="F7" s="82" t="s">
        <v>1250</v>
      </c>
      <c r="H7" s="7"/>
      <c r="I7" s="7"/>
      <c r="J7" s="17"/>
      <c r="K7" s="7"/>
      <c r="L7" s="7"/>
      <c r="M7" s="7"/>
      <c r="N7" s="7"/>
    </row>
    <row r="8" spans="1:14">
      <c r="A8" s="85">
        <v>44691</v>
      </c>
      <c r="B8" s="7" t="s">
        <v>21</v>
      </c>
      <c r="C8" s="1" t="s">
        <v>23</v>
      </c>
      <c r="D8" s="12">
        <v>545.78</v>
      </c>
      <c r="E8" s="9"/>
      <c r="F8" s="65" t="s">
        <v>1251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8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44701</v>
      </c>
      <c r="B10" s="7" t="s">
        <v>31</v>
      </c>
      <c r="C10" s="1" t="s">
        <v>1254</v>
      </c>
      <c r="D10" s="12">
        <v>49.99</v>
      </c>
      <c r="E10" s="16"/>
      <c r="F10"/>
      <c r="H10" s="11"/>
      <c r="I10" s="11"/>
      <c r="J10" s="19"/>
      <c r="K10" s="11"/>
      <c r="L10" s="11"/>
      <c r="M10" s="11"/>
      <c r="N10" s="11"/>
    </row>
    <row r="11" spans="1:14">
      <c r="A11" s="51">
        <v>44691</v>
      </c>
      <c r="B11" s="7" t="s">
        <v>31</v>
      </c>
      <c r="C11" s="1" t="s">
        <v>186</v>
      </c>
      <c r="D11" s="12">
        <v>53.1</v>
      </c>
      <c r="E11" s="9"/>
      <c r="F11" s="84" t="s">
        <v>1252</v>
      </c>
      <c r="G11" s="20"/>
      <c r="H11" s="11"/>
      <c r="I11" s="11"/>
      <c r="J11" s="19"/>
      <c r="K11" s="11"/>
      <c r="L11" s="11"/>
      <c r="M11" s="11"/>
      <c r="N11" s="11"/>
    </row>
    <row r="12" spans="1:14">
      <c r="A12" s="51">
        <v>44701</v>
      </c>
      <c r="B12" s="7" t="s">
        <v>863</v>
      </c>
      <c r="C12" s="1" t="s">
        <v>864</v>
      </c>
      <c r="D12" s="12">
        <v>510</v>
      </c>
      <c r="E12" s="12"/>
      <c r="F12" s="65" t="s">
        <v>1258</v>
      </c>
      <c r="G12" s="35"/>
      <c r="H12" s="1"/>
      <c r="I12" s="1"/>
      <c r="J12" s="18"/>
      <c r="K12" s="1"/>
      <c r="L12" s="1"/>
      <c r="M12" s="1"/>
      <c r="N12" s="1"/>
    </row>
    <row r="13" spans="1:14">
      <c r="A13" s="51">
        <v>44701</v>
      </c>
      <c r="B13" s="7" t="s">
        <v>367</v>
      </c>
      <c r="C13" s="1" t="s">
        <v>35</v>
      </c>
      <c r="D13" s="12">
        <v>161</v>
      </c>
      <c r="E13" s="9"/>
      <c r="F13" s="65" t="s">
        <v>1259</v>
      </c>
      <c r="G13" s="7"/>
      <c r="H13" s="7"/>
      <c r="I13" s="7"/>
      <c r="J13" s="17"/>
      <c r="K13" s="7"/>
      <c r="L13" s="7"/>
      <c r="M13" s="7"/>
      <c r="N13" s="7"/>
    </row>
    <row r="14" spans="1:14">
      <c r="A14" s="51" t="s">
        <v>9</v>
      </c>
      <c r="B14" s="77" t="s">
        <v>1224</v>
      </c>
      <c r="C14" s="1" t="s">
        <v>1223</v>
      </c>
      <c r="D14" s="12">
        <v>0</v>
      </c>
      <c r="E14" s="9"/>
      <c r="F14" s="65"/>
      <c r="G14" s="7"/>
      <c r="H14" s="7"/>
      <c r="I14" s="7"/>
      <c r="J14" s="17"/>
      <c r="K14" s="7"/>
      <c r="L14" s="7"/>
      <c r="M14" s="7"/>
      <c r="N14" s="7"/>
    </row>
    <row r="15" spans="1:14">
      <c r="A15" s="52"/>
      <c r="B15" s="7"/>
      <c r="C15" s="1"/>
      <c r="D15" s="1"/>
      <c r="E15" s="1"/>
      <c r="F15" s="65"/>
      <c r="G15" s="1"/>
      <c r="H15" s="1"/>
      <c r="I15" s="1"/>
      <c r="J15" s="18"/>
      <c r="K15" s="1"/>
      <c r="L15" s="1"/>
      <c r="M15" s="1"/>
      <c r="N15" s="1"/>
    </row>
    <row r="16" spans="1:14">
      <c r="A16" s="52"/>
      <c r="B16" s="1"/>
      <c r="C16" s="1"/>
      <c r="D16" s="12">
        <v>0</v>
      </c>
      <c r="E16" s="1"/>
      <c r="F16" s="65"/>
      <c r="G16" s="1"/>
      <c r="H16" s="68"/>
      <c r="I16" s="1"/>
      <c r="J16" s="18"/>
      <c r="K16" s="1"/>
      <c r="L16" s="1"/>
      <c r="M16" s="1"/>
      <c r="N16" s="1"/>
    </row>
    <row r="17" spans="1:14">
      <c r="A17" s="52"/>
      <c r="B17" s="1"/>
      <c r="C17" s="22" t="s">
        <v>37</v>
      </c>
      <c r="D17" s="1"/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2" t="s">
        <v>9</v>
      </c>
      <c r="B18" s="1" t="s">
        <v>1255</v>
      </c>
      <c r="C18" s="88" t="s">
        <v>41</v>
      </c>
      <c r="D18" s="1">
        <v>19.989999999999998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1" t="s">
        <v>9</v>
      </c>
      <c r="B19" s="1" t="s">
        <v>45</v>
      </c>
      <c r="C19" s="1" t="s">
        <v>258</v>
      </c>
      <c r="D19" s="12">
        <v>0</v>
      </c>
      <c r="E19" s="1"/>
      <c r="F19" s="65"/>
      <c r="G19" s="1"/>
      <c r="H19" s="1"/>
      <c r="I19" s="1"/>
      <c r="J19" s="18"/>
      <c r="K19" s="1"/>
      <c r="L19" s="1"/>
      <c r="M19" s="1"/>
      <c r="N19" s="1"/>
    </row>
    <row r="20" spans="1:14">
      <c r="A20" s="53">
        <v>44687</v>
      </c>
      <c r="B20" s="1" t="s">
        <v>45</v>
      </c>
      <c r="C20" s="1" t="s">
        <v>1024</v>
      </c>
      <c r="D20" s="12"/>
      <c r="E20" s="1"/>
      <c r="F20" s="83">
        <v>663252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44691</v>
      </c>
      <c r="B21" s="1" t="s">
        <v>48</v>
      </c>
      <c r="C21" s="1" t="s">
        <v>49</v>
      </c>
      <c r="D21" s="12">
        <f>D5</f>
        <v>13.99</v>
      </c>
      <c r="E21" s="1"/>
      <c r="F21" s="74">
        <v>77489</v>
      </c>
      <c r="H21" s="1"/>
      <c r="I21" s="1"/>
      <c r="J21" s="18"/>
      <c r="K21" s="1"/>
      <c r="L21" s="1"/>
      <c r="M21" s="1"/>
      <c r="N21" s="1"/>
    </row>
    <row r="22" spans="1:14">
      <c r="A22" s="53">
        <v>44691</v>
      </c>
      <c r="B22" s="1" t="s">
        <v>27</v>
      </c>
      <c r="C22" s="1" t="s">
        <v>43</v>
      </c>
      <c r="D22" s="12">
        <v>1</v>
      </c>
      <c r="E22" s="1"/>
      <c r="F22" s="63" t="s">
        <v>1253</v>
      </c>
      <c r="G22" s="1"/>
      <c r="H22" s="1"/>
      <c r="I22" s="1"/>
      <c r="J22" s="18"/>
      <c r="K22" s="1"/>
      <c r="L22" s="1"/>
      <c r="M22" s="1"/>
      <c r="N22" s="1"/>
    </row>
    <row r="23" spans="1:14">
      <c r="A23" s="53" t="s">
        <v>9</v>
      </c>
      <c r="B23" s="1" t="s">
        <v>51</v>
      </c>
      <c r="C23" s="1" t="s">
        <v>52</v>
      </c>
      <c r="E23" s="1"/>
      <c r="F23" s="65"/>
      <c r="G23" s="1"/>
      <c r="H23" s="1"/>
      <c r="I23" s="1"/>
      <c r="J23" s="18"/>
      <c r="K23" s="1"/>
      <c r="L23" s="48"/>
      <c r="M23" s="1"/>
      <c r="N23" s="1"/>
    </row>
    <row r="24" spans="1:14">
      <c r="A24" s="53" t="s">
        <v>9</v>
      </c>
      <c r="B24" s="1" t="s">
        <v>51</v>
      </c>
      <c r="C24" s="1" t="s">
        <v>932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27</v>
      </c>
      <c r="C25" s="1" t="s">
        <v>905</v>
      </c>
      <c r="D25">
        <v>0</v>
      </c>
      <c r="E25" s="1"/>
      <c r="F25" s="65"/>
      <c r="G25" s="1"/>
      <c r="H25" s="1"/>
      <c r="I25" s="1"/>
      <c r="J25" s="18"/>
      <c r="K25" s="1"/>
      <c r="L25" s="70"/>
      <c r="M25" s="1"/>
      <c r="N25" s="1"/>
    </row>
    <row r="26" spans="1:14">
      <c r="A26" s="53" t="s">
        <v>9</v>
      </c>
      <c r="B26" s="1" t="s">
        <v>38</v>
      </c>
      <c r="C26" s="1" t="s">
        <v>39</v>
      </c>
      <c r="D26" s="23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53" t="s">
        <v>9</v>
      </c>
      <c r="B27" s="1" t="s">
        <v>34</v>
      </c>
      <c r="C27" s="1" t="s">
        <v>54</v>
      </c>
      <c r="D27" s="12">
        <v>0</v>
      </c>
      <c r="E27" s="1"/>
      <c r="F27" s="65"/>
      <c r="G27" s="1"/>
      <c r="H27" s="1"/>
      <c r="I27" s="1"/>
      <c r="J27" s="18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65"/>
      <c r="G28" s="1"/>
      <c r="H28" s="1"/>
      <c r="I28" s="1"/>
      <c r="J28" s="18"/>
      <c r="K28" s="18"/>
      <c r="L28" s="1"/>
      <c r="M28" s="1"/>
      <c r="N28" s="1"/>
    </row>
    <row r="29" spans="1:14">
      <c r="A29" s="1"/>
      <c r="B29" s="1"/>
      <c r="C29" s="22" t="s">
        <v>56</v>
      </c>
      <c r="D29" s="28">
        <f>SUM(D3:D20,D22,D23,D26,D27,D24,D25)</f>
        <v>2932.3699999999994</v>
      </c>
      <c r="E29" s="1"/>
      <c r="F29" s="65"/>
      <c r="G29" s="1"/>
      <c r="H29" s="1"/>
      <c r="I29" s="12"/>
      <c r="J29" s="18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65"/>
      <c r="G30" s="1"/>
      <c r="H30" s="1"/>
      <c r="I30" s="1"/>
      <c r="J30" s="18"/>
      <c r="K30" s="1"/>
      <c r="L30" s="1"/>
      <c r="M30" s="1"/>
      <c r="N30" s="1"/>
    </row>
    <row r="31" spans="1:14">
      <c r="A31" s="6"/>
      <c r="B31" s="29"/>
      <c r="C31" s="29" t="s">
        <v>58</v>
      </c>
      <c r="D31" s="30">
        <v>0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6"/>
      <c r="B32" s="29"/>
      <c r="C32" s="29" t="s">
        <v>59</v>
      </c>
      <c r="D32" s="1">
        <v>5462</v>
      </c>
      <c r="E32" s="30"/>
      <c r="F32" s="65"/>
      <c r="G32" s="29"/>
      <c r="H32" s="29"/>
      <c r="I32" s="29"/>
      <c r="J32" s="31"/>
      <c r="K32" s="29"/>
      <c r="L32" s="29"/>
      <c r="M32" s="29"/>
      <c r="N32" s="29"/>
    </row>
    <row r="33" spans="1:14">
      <c r="A33" s="1"/>
      <c r="B33" s="1"/>
      <c r="C33" s="1" t="s">
        <v>60</v>
      </c>
      <c r="D33" s="32">
        <f>(D32+D31)-D29</f>
        <v>2529.6300000000006</v>
      </c>
      <c r="E33" s="32"/>
      <c r="F33" s="65"/>
      <c r="G33" s="1"/>
      <c r="H33" s="1"/>
      <c r="I33" s="1"/>
      <c r="J33" s="18"/>
      <c r="K33" s="1"/>
      <c r="L33" s="1"/>
      <c r="M33" s="1"/>
      <c r="N33" s="1"/>
    </row>
    <row r="34" spans="1:14">
      <c r="B34" s="1"/>
      <c r="C34" s="1"/>
      <c r="D34" s="1"/>
      <c r="E34" s="1"/>
      <c r="F34" s="61"/>
      <c r="G34" s="1"/>
      <c r="H34" s="1"/>
      <c r="I34" s="1"/>
      <c r="J34" s="18"/>
      <c r="K34" s="1"/>
      <c r="L34" s="1"/>
      <c r="M34" s="1"/>
      <c r="N34" s="1"/>
    </row>
    <row r="35" spans="1:14">
      <c r="B35" s="1"/>
      <c r="C35" s="33"/>
      <c r="D35" s="12"/>
      <c r="E35" s="12"/>
      <c r="F35" s="61"/>
      <c r="G35" s="1"/>
      <c r="H35" s="1"/>
      <c r="I35" s="1"/>
      <c r="J35" s="18"/>
      <c r="K35" s="1"/>
      <c r="L35" s="1"/>
      <c r="M35" s="1"/>
      <c r="N35" s="1"/>
    </row>
    <row r="36" spans="1:14">
      <c r="B36" s="1"/>
      <c r="C36" s="32">
        <f>D33/4</f>
        <v>632.40750000000014</v>
      </c>
      <c r="D36" s="12"/>
      <c r="E36" s="12"/>
      <c r="F36" s="61"/>
      <c r="G36" s="12"/>
      <c r="H36" s="12"/>
      <c r="I36" s="12"/>
      <c r="J36" s="18"/>
      <c r="K36" s="1"/>
      <c r="L36" s="1"/>
      <c r="M36" s="1"/>
      <c r="N36" s="1"/>
    </row>
    <row r="37" spans="1:14">
      <c r="B37" s="1"/>
      <c r="C37" s="1"/>
      <c r="D37" s="1"/>
      <c r="E37" s="1"/>
      <c r="F37" s="61"/>
      <c r="G37" s="1"/>
      <c r="H37" s="1"/>
      <c r="I37" s="1"/>
      <c r="J37" s="18"/>
      <c r="K37" s="1"/>
      <c r="L37" s="1"/>
      <c r="M37" s="1"/>
      <c r="N37" s="1"/>
    </row>
    <row r="38" spans="1:14">
      <c r="F38" s="66"/>
    </row>
    <row r="40" spans="1:14">
      <c r="B40" s="1"/>
      <c r="C40" s="34">
        <v>300</v>
      </c>
      <c r="D40" s="12" t="s">
        <v>61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1:14">
      <c r="B41" s="1"/>
      <c r="C41" s="1">
        <v>75</v>
      </c>
      <c r="D41" s="12" t="s">
        <v>62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1:14">
      <c r="B42" s="1"/>
      <c r="C42" s="1"/>
      <c r="D42" s="12" t="s">
        <v>194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3" spans="1:14">
      <c r="B43" s="1"/>
      <c r="C43" s="32">
        <f>C36-C40-C41-C42</f>
        <v>257.40750000000014</v>
      </c>
      <c r="D43" s="12" t="s">
        <v>63</v>
      </c>
      <c r="E43" s="1"/>
      <c r="F43" s="61"/>
      <c r="G43" s="1"/>
      <c r="H43" s="1"/>
      <c r="I43" s="1"/>
      <c r="J43" s="18"/>
      <c r="K43" s="1"/>
      <c r="L43" s="1"/>
      <c r="M43" s="1"/>
      <c r="N43" s="1"/>
    </row>
    <row r="45" spans="1:14">
      <c r="B45" s="1"/>
      <c r="C45" s="1"/>
      <c r="D45" s="1"/>
      <c r="E45" s="1"/>
      <c r="F45" s="65"/>
      <c r="G45" s="1"/>
      <c r="H45" s="1"/>
      <c r="I45" s="1"/>
      <c r="J45" s="18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4C90-0528-4C70-8D70-92E11D4D0B87}">
  <dimension ref="A1:N48"/>
  <sheetViews>
    <sheetView workbookViewId="0">
      <selection activeCell="A13" sqref="A13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1256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44708</v>
      </c>
      <c r="B3" s="7" t="s">
        <v>6</v>
      </c>
      <c r="C3" s="1" t="s">
        <v>359</v>
      </c>
      <c r="D3" s="8">
        <v>1175.48</v>
      </c>
      <c r="E3" s="9"/>
      <c r="F3" s="73" t="s">
        <v>1260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44711</v>
      </c>
      <c r="B4" s="7" t="s">
        <v>10</v>
      </c>
      <c r="C4" s="1" t="s">
        <v>13</v>
      </c>
      <c r="D4" s="12">
        <v>200</v>
      </c>
      <c r="E4" s="9"/>
      <c r="F4" s="64" t="s">
        <v>1239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44715</v>
      </c>
      <c r="B6" s="56" t="s">
        <v>303</v>
      </c>
      <c r="C6" s="1" t="s">
        <v>767</v>
      </c>
      <c r="D6" s="12">
        <v>119</v>
      </c>
      <c r="E6" s="9"/>
      <c r="F6" s="81">
        <v>3481396659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44715</v>
      </c>
      <c r="B7" s="7" t="s">
        <v>155</v>
      </c>
      <c r="C7" s="1" t="s">
        <v>16</v>
      </c>
      <c r="D7" s="12">
        <v>99</v>
      </c>
      <c r="E7" s="12"/>
      <c r="F7" s="82" t="s">
        <v>1261</v>
      </c>
      <c r="H7" s="7"/>
      <c r="I7" s="7"/>
      <c r="J7" s="17"/>
      <c r="K7" s="7"/>
      <c r="L7" s="7"/>
      <c r="M7" s="7"/>
      <c r="N7" s="7"/>
    </row>
    <row r="8" spans="1:14">
      <c r="A8" s="85">
        <v>44727</v>
      </c>
      <c r="B8" s="7" t="s">
        <v>21</v>
      </c>
      <c r="C8" s="1" t="s">
        <v>23</v>
      </c>
      <c r="D8" s="12">
        <v>545.78</v>
      </c>
      <c r="E8" s="9"/>
      <c r="F8" s="65" t="s">
        <v>1263</v>
      </c>
      <c r="H8" s="11"/>
      <c r="I8" s="11"/>
      <c r="J8" s="19"/>
      <c r="K8" s="11"/>
      <c r="L8" s="11"/>
      <c r="M8" s="11"/>
      <c r="N8" s="11"/>
    </row>
    <row r="9" spans="1:14">
      <c r="A9" s="51">
        <v>44726</v>
      </c>
      <c r="B9" s="7" t="s">
        <v>21</v>
      </c>
      <c r="C9" s="1" t="s">
        <v>25</v>
      </c>
      <c r="D9" s="12">
        <v>30.25</v>
      </c>
      <c r="E9" s="16"/>
      <c r="F9" s="83" t="s">
        <v>1264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44729</v>
      </c>
      <c r="B10" s="7" t="s">
        <v>31</v>
      </c>
      <c r="C10" s="1" t="s">
        <v>186</v>
      </c>
      <c r="D10" s="12">
        <v>64.099999999999994</v>
      </c>
      <c r="E10" s="9"/>
      <c r="F10" s="84" t="s">
        <v>1266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863</v>
      </c>
      <c r="C11" s="1" t="s">
        <v>864</v>
      </c>
      <c r="D11" s="12">
        <v>0</v>
      </c>
      <c r="E11" s="12"/>
      <c r="F11" s="65"/>
      <c r="G11" s="35"/>
      <c r="H11" s="1"/>
      <c r="I11" s="1"/>
      <c r="J11" s="18"/>
      <c r="K11" s="1"/>
      <c r="L11" s="1"/>
      <c r="M11" s="1"/>
      <c r="N11" s="1"/>
    </row>
    <row r="12" spans="1:14">
      <c r="A12" s="51">
        <v>44732</v>
      </c>
      <c r="B12" s="7" t="s">
        <v>367</v>
      </c>
      <c r="C12" s="1" t="s">
        <v>35</v>
      </c>
      <c r="D12" s="12">
        <v>161</v>
      </c>
      <c r="E12" s="9"/>
      <c r="F12" s="65" t="s">
        <v>1267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77" t="s">
        <v>1224</v>
      </c>
      <c r="C13" s="1" t="s">
        <v>1223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44732</v>
      </c>
      <c r="B14" s="7" t="s">
        <v>1257</v>
      </c>
      <c r="C14" s="1" t="s">
        <v>1254</v>
      </c>
      <c r="D14" s="12">
        <v>49.99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>
        <v>44715</v>
      </c>
      <c r="B17" s="1" t="s">
        <v>1255</v>
      </c>
      <c r="C17" s="88" t="s">
        <v>41</v>
      </c>
      <c r="D17" s="12">
        <f>D5</f>
        <v>20</v>
      </c>
      <c r="E17" s="1"/>
      <c r="F17" s="65" t="s">
        <v>1262</v>
      </c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>
        <v>44714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>
      <c r="A21" s="53">
        <v>44729</v>
      </c>
      <c r="B21" s="1" t="s">
        <v>27</v>
      </c>
      <c r="C21" s="1" t="s">
        <v>43</v>
      </c>
      <c r="D21" s="12">
        <v>1</v>
      </c>
      <c r="E21" s="1"/>
      <c r="F21" s="63" t="s">
        <v>1265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52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54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2485.6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6161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3675.4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918.85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543.85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4C92-3B44-485E-A9A4-6CF083800B13}">
  <dimension ref="A1:N48"/>
  <sheetViews>
    <sheetView workbookViewId="0">
      <selection activeCell="F8" sqref="F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1275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44743</v>
      </c>
      <c r="B3" s="7" t="s">
        <v>6</v>
      </c>
      <c r="C3" s="1" t="s">
        <v>359</v>
      </c>
      <c r="D3" s="8">
        <v>1175.48</v>
      </c>
      <c r="E3" s="9"/>
      <c r="F3" s="73" t="s">
        <v>1268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44742</v>
      </c>
      <c r="B4" s="7" t="s">
        <v>10</v>
      </c>
      <c r="C4" s="1" t="s">
        <v>13</v>
      </c>
      <c r="D4" s="12">
        <v>200</v>
      </c>
      <c r="E4" s="9"/>
      <c r="F4" s="64" t="s">
        <v>1239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44747</v>
      </c>
      <c r="B6" s="56" t="s">
        <v>303</v>
      </c>
      <c r="C6" s="1" t="s">
        <v>767</v>
      </c>
      <c r="D6" s="12">
        <v>119</v>
      </c>
      <c r="E6" s="9"/>
      <c r="F6" s="81">
        <v>4290772637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44757</v>
      </c>
      <c r="B7" s="7" t="s">
        <v>155</v>
      </c>
      <c r="C7" s="1" t="s">
        <v>16</v>
      </c>
      <c r="D7" s="12">
        <v>99</v>
      </c>
      <c r="E7" s="12"/>
      <c r="F7" s="82" t="s">
        <v>1278</v>
      </c>
      <c r="H7" s="7"/>
      <c r="I7" s="7"/>
      <c r="J7" s="17"/>
      <c r="K7" s="7"/>
      <c r="L7" s="7"/>
      <c r="M7" s="7"/>
      <c r="N7" s="7"/>
    </row>
    <row r="8" spans="1:14">
      <c r="A8" s="85">
        <v>44757</v>
      </c>
      <c r="B8" s="7" t="s">
        <v>21</v>
      </c>
      <c r="C8" s="1" t="s">
        <v>23</v>
      </c>
      <c r="D8" s="12">
        <v>545.78</v>
      </c>
      <c r="E8" s="9"/>
      <c r="F8" s="65" t="s">
        <v>1270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8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44757</v>
      </c>
      <c r="B10" s="7" t="s">
        <v>31</v>
      </c>
      <c r="C10" s="1" t="s">
        <v>186</v>
      </c>
      <c r="D10" s="12">
        <v>64.099999999999994</v>
      </c>
      <c r="E10" s="9"/>
      <c r="F10" s="84" t="s">
        <v>1272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44762</v>
      </c>
      <c r="B11" s="7" t="s">
        <v>863</v>
      </c>
      <c r="C11" s="1" t="s">
        <v>548</v>
      </c>
      <c r="D11" s="12">
        <v>397.43</v>
      </c>
      <c r="E11" s="12"/>
      <c r="F11" s="65" t="s">
        <v>1273</v>
      </c>
      <c r="G11" s="35"/>
      <c r="H11" s="1"/>
      <c r="I11" s="1"/>
      <c r="J11" s="18"/>
      <c r="K11" s="1"/>
      <c r="L11" s="1"/>
      <c r="M11" s="1"/>
      <c r="N11" s="1"/>
    </row>
    <row r="12" spans="1:14">
      <c r="A12" s="51">
        <v>44762</v>
      </c>
      <c r="B12" s="7" t="s">
        <v>367</v>
      </c>
      <c r="C12" s="1" t="s">
        <v>35</v>
      </c>
      <c r="D12" s="12">
        <v>161</v>
      </c>
      <c r="E12" s="9"/>
      <c r="F12" s="65" t="s">
        <v>1274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77" t="s">
        <v>1224</v>
      </c>
      <c r="C13" s="1" t="s">
        <v>1223</v>
      </c>
      <c r="D13" s="12">
        <v>83.33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44762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>
        <v>44743</v>
      </c>
      <c r="B17" s="1" t="s">
        <v>1255</v>
      </c>
      <c r="C17" s="88" t="s">
        <v>41</v>
      </c>
      <c r="D17" s="12">
        <f>D5</f>
        <v>20</v>
      </c>
      <c r="E17" s="1"/>
      <c r="F17" s="65" t="s">
        <v>1269</v>
      </c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>
      <c r="A21" s="53">
        <v>44757</v>
      </c>
      <c r="B21" s="1" t="s">
        <v>27</v>
      </c>
      <c r="C21" s="1" t="s">
        <v>43</v>
      </c>
      <c r="D21" s="12">
        <v>0</v>
      </c>
      <c r="E21" s="1"/>
      <c r="F21" s="63"/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52</v>
      </c>
      <c r="D22" s="12">
        <v>0</v>
      </c>
      <c r="E22" s="1"/>
      <c r="F22" s="65" t="s">
        <v>1271</v>
      </c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54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2995.3599999999997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6161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3165.6400000000003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791.41000000000008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416.41000000000008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2724-1BC6-4EF4-8D4F-BE6383DADE5B}">
  <dimension ref="A1:N48"/>
  <sheetViews>
    <sheetView workbookViewId="0">
      <selection activeCell="D8" sqref="D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1276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44770</v>
      </c>
      <c r="B3" s="7" t="s">
        <v>6</v>
      </c>
      <c r="C3" s="1" t="s">
        <v>359</v>
      </c>
      <c r="D3" s="8">
        <v>1175.48</v>
      </c>
      <c r="E3" s="9"/>
      <c r="F3" s="73" t="s">
        <v>1280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44770</v>
      </c>
      <c r="B4" s="7" t="s">
        <v>10</v>
      </c>
      <c r="C4" s="1" t="s">
        <v>13</v>
      </c>
      <c r="D4" s="12">
        <v>200</v>
      </c>
      <c r="E4" s="9"/>
      <c r="F4" s="64" t="s">
        <v>1279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44785</v>
      </c>
      <c r="B6" s="56" t="s">
        <v>303</v>
      </c>
      <c r="C6" s="1" t="s">
        <v>767</v>
      </c>
      <c r="D6" s="12">
        <v>84</v>
      </c>
      <c r="E6" s="9"/>
      <c r="F6" s="81">
        <v>902052234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44785</v>
      </c>
      <c r="B7" s="7" t="s">
        <v>155</v>
      </c>
      <c r="C7" s="1" t="s">
        <v>16</v>
      </c>
      <c r="D7" s="12">
        <v>121</v>
      </c>
      <c r="E7" s="12"/>
      <c r="F7" s="82" t="s">
        <v>1283</v>
      </c>
      <c r="H7" s="7"/>
      <c r="I7" s="7"/>
      <c r="J7" s="17"/>
      <c r="K7" s="7"/>
      <c r="L7" s="7"/>
      <c r="M7" s="7"/>
      <c r="N7" s="7"/>
    </row>
    <row r="8" spans="1:14">
      <c r="A8" s="85">
        <v>44785</v>
      </c>
      <c r="B8" s="7" t="s">
        <v>21</v>
      </c>
      <c r="C8" s="1" t="s">
        <v>23</v>
      </c>
      <c r="D8" s="12">
        <v>545.78</v>
      </c>
      <c r="E8" s="9"/>
      <c r="F8" s="65" t="s">
        <v>1284</v>
      </c>
      <c r="H8" s="11"/>
      <c r="I8" s="11"/>
      <c r="J8" s="19"/>
      <c r="K8" s="11"/>
      <c r="L8" s="11"/>
      <c r="M8" s="11"/>
      <c r="N8" s="11"/>
    </row>
    <row r="9" spans="1:14">
      <c r="A9" s="51">
        <v>44784</v>
      </c>
      <c r="B9" s="7" t="s">
        <v>21</v>
      </c>
      <c r="C9" s="1" t="s">
        <v>25</v>
      </c>
      <c r="D9" s="12">
        <v>30.25</v>
      </c>
      <c r="E9" s="16"/>
      <c r="F9" s="83" t="s">
        <v>1282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812</v>
      </c>
      <c r="B10" s="7" t="s">
        <v>31</v>
      </c>
      <c r="C10" s="1" t="s">
        <v>186</v>
      </c>
      <c r="D10" s="12">
        <v>64.099999999999994</v>
      </c>
      <c r="E10" s="9"/>
      <c r="F10" s="84" t="s">
        <v>1285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44792</v>
      </c>
      <c r="B11" s="7" t="s">
        <v>863</v>
      </c>
      <c r="C11" s="1" t="s">
        <v>548</v>
      </c>
      <c r="D11" s="12">
        <v>397.43</v>
      </c>
      <c r="E11" s="12"/>
      <c r="F11" s="65" t="s">
        <v>1288</v>
      </c>
      <c r="G11" s="35"/>
      <c r="H11" s="1"/>
      <c r="I11" s="1"/>
      <c r="J11" s="18"/>
      <c r="K11" s="1"/>
      <c r="L11" s="1"/>
      <c r="M11" s="1"/>
      <c r="N11" s="1"/>
    </row>
    <row r="12" spans="1:14">
      <c r="A12" s="51">
        <v>44792</v>
      </c>
      <c r="B12" s="7" t="s">
        <v>367</v>
      </c>
      <c r="C12" s="1" t="s">
        <v>35</v>
      </c>
      <c r="D12" s="12">
        <v>161</v>
      </c>
      <c r="E12" s="9"/>
      <c r="F12" s="65" t="s">
        <v>1289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>
        <v>44781</v>
      </c>
      <c r="B13" s="77" t="s">
        <v>1224</v>
      </c>
      <c r="C13" s="1" t="s">
        <v>1277</v>
      </c>
      <c r="D13" s="12">
        <v>0</v>
      </c>
      <c r="E13" s="9"/>
      <c r="F13" s="65" t="s">
        <v>1287</v>
      </c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44792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>
        <v>44770</v>
      </c>
      <c r="B17" s="1" t="s">
        <v>1255</v>
      </c>
      <c r="C17" s="88" t="s">
        <v>41</v>
      </c>
      <c r="D17" s="12">
        <f>D5</f>
        <v>20</v>
      </c>
      <c r="E17" s="1"/>
      <c r="F17" s="65" t="s">
        <v>1281</v>
      </c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>
        <v>44770</v>
      </c>
      <c r="B19" s="1" t="s">
        <v>45</v>
      </c>
      <c r="C19" s="1" t="s">
        <v>1024</v>
      </c>
      <c r="D19" s="12">
        <v>0</v>
      </c>
      <c r="E19" s="1"/>
      <c r="F19" s="83">
        <v>249653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>
      <c r="A21" s="53">
        <v>44785</v>
      </c>
      <c r="B21" s="1" t="s">
        <v>27</v>
      </c>
      <c r="C21" s="1" t="s">
        <v>43</v>
      </c>
      <c r="D21" s="12">
        <v>0</v>
      </c>
      <c r="E21" s="1"/>
      <c r="F21" s="63" t="s">
        <v>1286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52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54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2899.0299999999997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6161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3261.9700000000003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815.49250000000006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440.49250000000006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40E-3C4C-4DAF-9121-BC58122EE59B}">
  <dimension ref="A1:N48"/>
  <sheetViews>
    <sheetView workbookViewId="0">
      <selection activeCell="D8" sqref="D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1290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44799</v>
      </c>
      <c r="B3" s="7" t="s">
        <v>6</v>
      </c>
      <c r="C3" s="1" t="s">
        <v>359</v>
      </c>
      <c r="D3" s="8">
        <v>1175.48</v>
      </c>
      <c r="E3" s="9"/>
      <c r="F3" s="73" t="s">
        <v>1291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44799</v>
      </c>
      <c r="B4" s="7" t="s">
        <v>10</v>
      </c>
      <c r="C4" s="1" t="s">
        <v>13</v>
      </c>
      <c r="D4" s="12">
        <v>200</v>
      </c>
      <c r="E4" s="9"/>
      <c r="F4" s="64" t="s">
        <v>1239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44813</v>
      </c>
      <c r="B6" s="56" t="s">
        <v>303</v>
      </c>
      <c r="C6" s="1" t="s">
        <v>767</v>
      </c>
      <c r="D6" s="12">
        <v>82</v>
      </c>
      <c r="E6" s="9"/>
      <c r="F6" s="81">
        <v>110232243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44813</v>
      </c>
      <c r="B7" s="7" t="s">
        <v>155</v>
      </c>
      <c r="C7" s="1" t="s">
        <v>16</v>
      </c>
      <c r="D7" s="12">
        <v>121</v>
      </c>
      <c r="E7" s="12"/>
      <c r="F7" s="82" t="s">
        <v>1292</v>
      </c>
      <c r="H7" s="7"/>
      <c r="I7" s="7"/>
      <c r="J7" s="17"/>
      <c r="K7" s="7"/>
      <c r="L7" s="7"/>
      <c r="M7" s="7"/>
      <c r="N7" s="7"/>
    </row>
    <row r="8" spans="1:14">
      <c r="A8" s="85">
        <v>44813</v>
      </c>
      <c r="B8" s="7" t="s">
        <v>21</v>
      </c>
      <c r="C8" s="1" t="s">
        <v>23</v>
      </c>
      <c r="D8" s="12">
        <v>545.78</v>
      </c>
      <c r="E8" s="9"/>
      <c r="F8" s="65" t="s">
        <v>1293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8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44813</v>
      </c>
      <c r="B10" s="7" t="s">
        <v>31</v>
      </c>
      <c r="C10" s="1" t="s">
        <v>186</v>
      </c>
      <c r="D10" s="12">
        <v>64.099999999999994</v>
      </c>
      <c r="E10" s="9"/>
      <c r="F10" s="84" t="s">
        <v>1295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44827</v>
      </c>
      <c r="B11" s="7" t="s">
        <v>863</v>
      </c>
      <c r="C11" s="1" t="s">
        <v>548</v>
      </c>
      <c r="D11" s="12">
        <v>397.43</v>
      </c>
      <c r="E11" s="12"/>
      <c r="F11" s="65" t="s">
        <v>1297</v>
      </c>
      <c r="G11" s="35"/>
      <c r="H11" s="1"/>
      <c r="I11" s="1"/>
      <c r="J11" s="18"/>
      <c r="K11" s="1"/>
      <c r="L11" s="1"/>
      <c r="M11" s="1"/>
      <c r="N11" s="1"/>
    </row>
    <row r="12" spans="1:14">
      <c r="A12" s="51">
        <v>44827</v>
      </c>
      <c r="B12" s="7" t="s">
        <v>367</v>
      </c>
      <c r="C12" s="1" t="s">
        <v>35</v>
      </c>
      <c r="D12" s="12">
        <v>161</v>
      </c>
      <c r="E12" s="9"/>
      <c r="F12" s="65" t="s">
        <v>1298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77">
        <v>44985</v>
      </c>
      <c r="C13" s="1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44827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>
      <c r="A17" s="52">
        <v>44813</v>
      </c>
      <c r="B17" s="1" t="s">
        <v>1255</v>
      </c>
      <c r="C17" s="88" t="s">
        <v>41</v>
      </c>
      <c r="D17" s="12">
        <f>D5</f>
        <v>20</v>
      </c>
      <c r="E17" s="1"/>
      <c r="F17" s="65" t="s">
        <v>1296</v>
      </c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>
      <c r="A21" s="53">
        <v>44813</v>
      </c>
      <c r="B21" s="1" t="s">
        <v>27</v>
      </c>
      <c r="C21" s="1" t="s">
        <v>43</v>
      </c>
      <c r="D21" s="12">
        <v>0</v>
      </c>
      <c r="E21" s="1"/>
      <c r="F21" s="63" t="s">
        <v>1294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52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54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2897.0299999999997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6161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3263.9700000000003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815.99250000000006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440.99250000000006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437C-3826-4CEA-B662-13B260C4494D}">
  <dimension ref="A1:N48"/>
  <sheetViews>
    <sheetView workbookViewId="0">
      <selection activeCell="D8" sqref="D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1299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44834</v>
      </c>
      <c r="B3" s="7" t="s">
        <v>6</v>
      </c>
      <c r="C3" s="1" t="s">
        <v>359</v>
      </c>
      <c r="D3" s="8">
        <v>1175.48</v>
      </c>
      <c r="E3" s="9"/>
      <c r="F3" s="73" t="s">
        <v>1300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44834</v>
      </c>
      <c r="B4" s="7" t="s">
        <v>10</v>
      </c>
      <c r="C4" s="1" t="s">
        <v>13</v>
      </c>
      <c r="D4" s="12">
        <v>200</v>
      </c>
      <c r="E4" s="9"/>
      <c r="F4" s="64" t="s">
        <v>1239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44841</v>
      </c>
      <c r="B6" s="56" t="s">
        <v>303</v>
      </c>
      <c r="C6" s="1" t="s">
        <v>767</v>
      </c>
      <c r="D6" s="12">
        <v>82</v>
      </c>
      <c r="E6" s="9"/>
      <c r="F6" s="81">
        <v>5818600579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44841</v>
      </c>
      <c r="B7" s="7" t="s">
        <v>155</v>
      </c>
      <c r="C7" s="1" t="s">
        <v>16</v>
      </c>
      <c r="D7" s="12">
        <v>121</v>
      </c>
      <c r="E7" s="12"/>
      <c r="F7" s="82" t="s">
        <v>1301</v>
      </c>
      <c r="H7" s="7"/>
      <c r="I7" s="7"/>
      <c r="J7" s="17"/>
      <c r="K7" s="7"/>
      <c r="L7" s="7"/>
      <c r="M7" s="7"/>
      <c r="N7" s="7"/>
    </row>
    <row r="8" spans="1:14">
      <c r="A8" s="85">
        <v>44841</v>
      </c>
      <c r="B8" s="7" t="s">
        <v>21</v>
      </c>
      <c r="C8" s="1" t="s">
        <v>23</v>
      </c>
      <c r="D8" s="12">
        <v>545.78</v>
      </c>
      <c r="E8" s="9"/>
      <c r="F8" s="65" t="s">
        <v>1302</v>
      </c>
      <c r="H8" s="11"/>
      <c r="I8" s="11"/>
      <c r="J8" s="19"/>
      <c r="K8" s="11"/>
      <c r="L8" s="11"/>
      <c r="M8" s="11"/>
      <c r="N8" s="11"/>
    </row>
    <row r="9" spans="1:14">
      <c r="A9" s="51">
        <v>44841</v>
      </c>
      <c r="B9" s="7" t="s">
        <v>21</v>
      </c>
      <c r="C9" s="1" t="s">
        <v>25</v>
      </c>
      <c r="D9" s="12">
        <v>30.25</v>
      </c>
      <c r="E9" s="16"/>
      <c r="F9" s="83" t="s">
        <v>1303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44841</v>
      </c>
      <c r="B10" s="7" t="s">
        <v>31</v>
      </c>
      <c r="C10" s="1" t="s">
        <v>1305</v>
      </c>
      <c r="D10" s="12">
        <v>64.099999999999994</v>
      </c>
      <c r="E10" s="9"/>
      <c r="F10" s="84" t="s">
        <v>1306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44855</v>
      </c>
      <c r="B11" s="7" t="s">
        <v>863</v>
      </c>
      <c r="C11" s="1" t="s">
        <v>548</v>
      </c>
      <c r="D11" s="12">
        <v>397.43</v>
      </c>
      <c r="E11" s="12"/>
      <c r="F11" s="65" t="s">
        <v>1307</v>
      </c>
      <c r="G11" s="35"/>
      <c r="H11" s="1"/>
      <c r="I11" s="1"/>
      <c r="J11" s="18"/>
      <c r="K11" s="1"/>
      <c r="L11" s="1"/>
      <c r="M11" s="1"/>
      <c r="N11" s="1"/>
    </row>
    <row r="12" spans="1:14">
      <c r="A12" s="51">
        <v>44855</v>
      </c>
      <c r="B12" s="7" t="s">
        <v>367</v>
      </c>
      <c r="C12" s="1" t="s">
        <v>35</v>
      </c>
      <c r="D12" s="12">
        <v>161</v>
      </c>
      <c r="E12" s="9"/>
      <c r="F12" s="65" t="s">
        <v>1308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77">
        <v>44985</v>
      </c>
      <c r="C13" s="1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44855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44841</v>
      </c>
      <c r="B17" s="1" t="s">
        <v>1255</v>
      </c>
      <c r="C17" s="88" t="s">
        <v>41</v>
      </c>
      <c r="D17" s="12">
        <f>D5</f>
        <v>20</v>
      </c>
      <c r="E17" s="1"/>
      <c r="F17" s="90">
        <v>6244222491</v>
      </c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44841</v>
      </c>
      <c r="B21" s="1" t="s">
        <v>27</v>
      </c>
      <c r="C21" s="1" t="s">
        <v>43</v>
      </c>
      <c r="D21" s="12">
        <v>0</v>
      </c>
      <c r="E21" s="1"/>
      <c r="F21" s="89" t="s">
        <v>1304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52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54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2897.0299999999997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6161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3263.9700000000003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815.99250000000006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440.99250000000006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485B-5DB0-4C81-918C-6EADAB4FC2AE}">
  <dimension ref="A1:N48"/>
  <sheetViews>
    <sheetView workbookViewId="0">
      <selection activeCell="D8" sqref="D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1309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44865</v>
      </c>
      <c r="B3" s="7" t="s">
        <v>6</v>
      </c>
      <c r="C3" s="1" t="s">
        <v>359</v>
      </c>
      <c r="D3" s="8">
        <v>1175.48</v>
      </c>
      <c r="E3" s="9"/>
      <c r="F3" s="73" t="s">
        <v>1310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44865</v>
      </c>
      <c r="B4" s="7" t="s">
        <v>10</v>
      </c>
      <c r="C4" s="1" t="s">
        <v>13</v>
      </c>
      <c r="D4" s="12">
        <v>200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44869</v>
      </c>
      <c r="B6" s="56" t="s">
        <v>303</v>
      </c>
      <c r="C6" s="1" t="s">
        <v>767</v>
      </c>
      <c r="D6" s="12">
        <v>82</v>
      </c>
      <c r="E6" s="9"/>
      <c r="F6" s="81">
        <v>3.7268568823726801E+19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44873</v>
      </c>
      <c r="B7" s="7" t="s">
        <v>155</v>
      </c>
      <c r="C7" s="1" t="s">
        <v>16</v>
      </c>
      <c r="D7" s="12">
        <v>121</v>
      </c>
      <c r="E7" s="12"/>
      <c r="F7" s="82">
        <v>3728547187</v>
      </c>
      <c r="H7" s="7"/>
      <c r="I7" s="7"/>
      <c r="J7" s="17"/>
      <c r="K7" s="7"/>
      <c r="L7" s="7"/>
      <c r="M7" s="7"/>
      <c r="N7" s="7"/>
    </row>
    <row r="8" spans="1:14">
      <c r="A8" s="85">
        <v>44876</v>
      </c>
      <c r="B8" s="7" t="s">
        <v>21</v>
      </c>
      <c r="C8" s="1" t="s">
        <v>23</v>
      </c>
      <c r="D8" s="12">
        <v>545.78</v>
      </c>
      <c r="E8" s="9"/>
      <c r="F8" s="65" t="s">
        <v>1314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8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44883</v>
      </c>
      <c r="B10" s="7" t="s">
        <v>31</v>
      </c>
      <c r="C10" s="1" t="s">
        <v>1305</v>
      </c>
      <c r="D10" s="12">
        <v>64.099999999999994</v>
      </c>
      <c r="E10" s="9"/>
      <c r="F10" s="84" t="s">
        <v>1316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44883</v>
      </c>
      <c r="B11" s="7" t="s">
        <v>863</v>
      </c>
      <c r="C11" s="1" t="s">
        <v>548</v>
      </c>
      <c r="D11" s="12">
        <v>397.43</v>
      </c>
      <c r="E11" s="12"/>
      <c r="F11" s="65" t="s">
        <v>1317</v>
      </c>
      <c r="G11" s="35"/>
      <c r="H11" s="1"/>
      <c r="I11" s="1"/>
      <c r="J11" s="18"/>
      <c r="K11" s="1"/>
      <c r="L11" s="1"/>
      <c r="M11" s="1"/>
      <c r="N11" s="1"/>
    </row>
    <row r="12" spans="1:14">
      <c r="A12" s="51">
        <v>44890</v>
      </c>
      <c r="B12" s="7" t="s">
        <v>367</v>
      </c>
      <c r="C12" s="1" t="s">
        <v>35</v>
      </c>
      <c r="D12" s="12">
        <v>161</v>
      </c>
      <c r="E12" s="9"/>
      <c r="F12" s="65" t="s">
        <v>1319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77">
        <v>44985</v>
      </c>
      <c r="C13" s="1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44890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44869</v>
      </c>
      <c r="B17" s="1" t="s">
        <v>1255</v>
      </c>
      <c r="C17" s="88" t="s">
        <v>41</v>
      </c>
      <c r="D17" s="12">
        <f>D5</f>
        <v>20</v>
      </c>
      <c r="E17" s="1"/>
      <c r="F17" s="90"/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44876</v>
      </c>
      <c r="B21" s="1" t="s">
        <v>27</v>
      </c>
      <c r="C21" s="1" t="s">
        <v>43</v>
      </c>
      <c r="D21" s="12">
        <v>0</v>
      </c>
      <c r="E21" s="1"/>
      <c r="F21" s="89" t="s">
        <v>1315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>
        <v>44876</v>
      </c>
      <c r="B22" s="1" t="s">
        <v>51</v>
      </c>
      <c r="C22" s="1" t="s">
        <v>1312</v>
      </c>
      <c r="D22" s="12">
        <v>0</v>
      </c>
      <c r="E22" s="1"/>
      <c r="F22" s="65" t="s">
        <v>1311</v>
      </c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2897.0299999999997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6161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3263.9700000000003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815.99250000000006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440.99250000000006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76C5-0E50-4FEC-9FFB-996CA04594CF}">
  <dimension ref="A1:N48"/>
  <sheetViews>
    <sheetView workbookViewId="0">
      <selection activeCell="D8" sqref="D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1318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44893</v>
      </c>
      <c r="B3" s="7" t="s">
        <v>6</v>
      </c>
      <c r="C3" s="1" t="s">
        <v>359</v>
      </c>
      <c r="D3" s="8">
        <v>1175.48</v>
      </c>
      <c r="E3" s="9"/>
      <c r="F3" s="73" t="s">
        <v>1320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44893</v>
      </c>
      <c r="B4" s="7" t="s">
        <v>10</v>
      </c>
      <c r="C4" s="1" t="s">
        <v>13</v>
      </c>
      <c r="D4" s="12">
        <v>200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44897</v>
      </c>
      <c r="B6" s="56" t="s">
        <v>303</v>
      </c>
      <c r="C6" s="1" t="s">
        <v>767</v>
      </c>
      <c r="D6" s="12">
        <v>82</v>
      </c>
      <c r="E6" s="9"/>
      <c r="F6" s="81">
        <v>735048166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44909</v>
      </c>
      <c r="B7" s="7" t="s">
        <v>155</v>
      </c>
      <c r="C7" s="1" t="s">
        <v>16</v>
      </c>
      <c r="D7" s="12">
        <v>121</v>
      </c>
      <c r="E7" s="12"/>
      <c r="F7" s="82">
        <v>1159934872</v>
      </c>
      <c r="H7" s="7"/>
      <c r="I7" s="7"/>
      <c r="J7" s="17"/>
      <c r="K7" s="7"/>
      <c r="L7" s="7"/>
      <c r="M7" s="7"/>
      <c r="N7" s="7"/>
    </row>
    <row r="8" spans="1:14">
      <c r="A8" s="85">
        <v>44911</v>
      </c>
      <c r="B8" s="7" t="s">
        <v>21</v>
      </c>
      <c r="C8" s="1" t="s">
        <v>23</v>
      </c>
      <c r="D8" s="12">
        <v>545.78</v>
      </c>
      <c r="E8" s="9"/>
      <c r="F8" s="65" t="s">
        <v>1321</v>
      </c>
      <c r="H8" s="11"/>
      <c r="I8" s="11"/>
      <c r="J8" s="19"/>
      <c r="K8" s="11"/>
      <c r="L8" s="11"/>
      <c r="M8" s="11"/>
      <c r="N8" s="11"/>
    </row>
    <row r="9" spans="1:14">
      <c r="A9" s="51">
        <v>44898</v>
      </c>
      <c r="B9" s="7" t="s">
        <v>21</v>
      </c>
      <c r="C9" s="1" t="s">
        <v>25</v>
      </c>
      <c r="D9" s="12">
        <v>30.25</v>
      </c>
      <c r="E9" s="16"/>
      <c r="F9" s="83">
        <v>1.8448414173721399E+19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44911</v>
      </c>
      <c r="B10" s="7" t="s">
        <v>31</v>
      </c>
      <c r="C10" s="1" t="s">
        <v>1305</v>
      </c>
      <c r="D10" s="12">
        <v>64.099999999999994</v>
      </c>
      <c r="E10" s="9"/>
      <c r="F10" s="84" t="s">
        <v>1323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44917</v>
      </c>
      <c r="B11" s="7" t="s">
        <v>863</v>
      </c>
      <c r="C11" s="1" t="s">
        <v>548</v>
      </c>
      <c r="D11" s="12">
        <v>397.43</v>
      </c>
      <c r="E11" s="12"/>
      <c r="F11" s="65" t="s">
        <v>1324</v>
      </c>
      <c r="G11" s="35"/>
      <c r="H11" s="1"/>
      <c r="I11" s="1"/>
      <c r="J11" s="18"/>
      <c r="K11" s="1"/>
      <c r="L11" s="1"/>
      <c r="M11" s="1"/>
      <c r="N11" s="1"/>
    </row>
    <row r="12" spans="1:14">
      <c r="A12" s="51">
        <v>44917</v>
      </c>
      <c r="B12" s="7" t="s">
        <v>367</v>
      </c>
      <c r="C12" s="1" t="s">
        <v>35</v>
      </c>
      <c r="D12" s="12">
        <v>161</v>
      </c>
      <c r="E12" s="9"/>
      <c r="F12" s="65" t="s">
        <v>1325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77">
        <v>44985</v>
      </c>
      <c r="C13" s="1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44917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44903</v>
      </c>
      <c r="B17" s="1" t="s">
        <v>1255</v>
      </c>
      <c r="C17" s="88" t="s">
        <v>41</v>
      </c>
      <c r="D17" s="12">
        <f>D5</f>
        <v>20</v>
      </c>
      <c r="E17" s="1"/>
      <c r="F17" s="90">
        <v>6371422530</v>
      </c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44911</v>
      </c>
      <c r="B21" s="1" t="s">
        <v>27</v>
      </c>
      <c r="C21" s="1" t="s">
        <v>43</v>
      </c>
      <c r="D21" s="12">
        <v>0</v>
      </c>
      <c r="E21" s="1"/>
      <c r="F21" s="89" t="s">
        <v>1322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2897.0299999999997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6161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3263.9700000000003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815.99250000000006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440.99250000000006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9C6F-1ED9-4B03-B6E9-71F4B50568EE}">
  <dimension ref="A1:N48"/>
  <sheetViews>
    <sheetView workbookViewId="0">
      <selection activeCell="D31" sqref="D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1326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44925</v>
      </c>
      <c r="B3" s="7" t="s">
        <v>6</v>
      </c>
      <c r="C3" s="1" t="s">
        <v>359</v>
      </c>
      <c r="D3" s="8">
        <v>1175.48</v>
      </c>
      <c r="E3" s="9"/>
      <c r="F3" s="73" t="s">
        <v>1327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44925</v>
      </c>
      <c r="B4" s="7" t="s">
        <v>10</v>
      </c>
      <c r="C4" s="1" t="s">
        <v>13</v>
      </c>
      <c r="D4" s="12">
        <v>200</v>
      </c>
      <c r="E4" s="9"/>
      <c r="F4" s="64" t="s">
        <v>1239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44929</v>
      </c>
      <c r="B6" s="56" t="s">
        <v>303</v>
      </c>
      <c r="C6" s="1" t="s">
        <v>767</v>
      </c>
      <c r="D6" s="12">
        <v>82</v>
      </c>
      <c r="E6" s="9"/>
      <c r="F6" s="81">
        <v>1244438934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44939</v>
      </c>
      <c r="B7" s="7" t="s">
        <v>155</v>
      </c>
      <c r="C7" s="1" t="s">
        <v>16</v>
      </c>
      <c r="D7" s="12">
        <v>121</v>
      </c>
      <c r="E7" s="12"/>
      <c r="F7" s="82"/>
      <c r="H7" s="7"/>
      <c r="I7" s="7"/>
      <c r="J7" s="17"/>
      <c r="K7" s="7"/>
      <c r="L7" s="7"/>
      <c r="M7" s="7"/>
      <c r="N7" s="7"/>
    </row>
    <row r="8" spans="1:14">
      <c r="A8" s="85">
        <v>44939</v>
      </c>
      <c r="B8" s="7" t="s">
        <v>21</v>
      </c>
      <c r="C8" s="1" t="s">
        <v>23</v>
      </c>
      <c r="D8" s="12">
        <v>545.78</v>
      </c>
      <c r="E8" s="9"/>
      <c r="F8" s="65" t="s">
        <v>1328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8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44939</v>
      </c>
      <c r="B10" s="7" t="s">
        <v>31</v>
      </c>
      <c r="C10" s="1" t="s">
        <v>1305</v>
      </c>
      <c r="D10" s="12">
        <v>64.099999999999994</v>
      </c>
      <c r="E10" s="9"/>
      <c r="F10" s="84" t="s">
        <v>1330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44939</v>
      </c>
      <c r="B11" s="7" t="s">
        <v>863</v>
      </c>
      <c r="C11" s="1" t="s">
        <v>548</v>
      </c>
      <c r="D11" s="12">
        <v>397.43</v>
      </c>
      <c r="E11" s="12"/>
      <c r="F11" s="65" t="s">
        <v>1331</v>
      </c>
      <c r="G11" s="35"/>
      <c r="H11" s="1"/>
      <c r="I11" s="1"/>
      <c r="J11" s="18"/>
      <c r="K11" s="1"/>
      <c r="L11" s="1"/>
      <c r="M11" s="1"/>
      <c r="N11" s="1"/>
    </row>
    <row r="12" spans="1:14">
      <c r="A12" s="51">
        <v>44939</v>
      </c>
      <c r="B12" s="7" t="s">
        <v>367</v>
      </c>
      <c r="C12" s="1" t="s">
        <v>35</v>
      </c>
      <c r="D12" s="12">
        <v>161</v>
      </c>
      <c r="E12" s="9"/>
      <c r="F12" s="65" t="s">
        <v>1332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77">
        <v>44985</v>
      </c>
      <c r="C13" s="1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44953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45266</v>
      </c>
      <c r="B17" s="1" t="s">
        <v>1255</v>
      </c>
      <c r="C17" s="88" t="s">
        <v>41</v>
      </c>
      <c r="D17" s="12">
        <f>D5</f>
        <v>20</v>
      </c>
      <c r="E17" s="1"/>
      <c r="F17" s="90">
        <v>6430117744</v>
      </c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44939</v>
      </c>
      <c r="B21" s="1" t="s">
        <v>27</v>
      </c>
      <c r="C21" s="1" t="s">
        <v>43</v>
      </c>
      <c r="D21" s="12">
        <v>0</v>
      </c>
      <c r="E21" s="1"/>
      <c r="F21" s="89" t="s">
        <v>1329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2897.0299999999997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6449.26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3552.2300000000005</v>
      </c>
      <c r="E32" s="32"/>
      <c r="F32" s="65"/>
      <c r="G32" s="1"/>
      <c r="H32" s="1"/>
      <c r="I32" s="1"/>
      <c r="J32" s="18"/>
      <c r="K32" s="18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/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2B02-0AF7-4F30-8162-41EA0459F46A}">
  <dimension ref="A1:N48"/>
  <sheetViews>
    <sheetView workbookViewId="0">
      <selection activeCell="D31" sqref="D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1333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44954</v>
      </c>
      <c r="B3" s="7" t="s">
        <v>6</v>
      </c>
      <c r="C3" s="1" t="s">
        <v>359</v>
      </c>
      <c r="D3" s="8">
        <v>1175.48</v>
      </c>
      <c r="E3" s="9"/>
      <c r="F3" s="73" t="s">
        <v>1334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44958</v>
      </c>
      <c r="B4" s="7" t="s">
        <v>10</v>
      </c>
      <c r="C4" s="1" t="s">
        <v>13</v>
      </c>
      <c r="D4" s="12">
        <v>234</v>
      </c>
      <c r="E4" s="9"/>
      <c r="F4" s="64" t="s">
        <v>1239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44967</v>
      </c>
      <c r="B6" s="56" t="s">
        <v>303</v>
      </c>
      <c r="C6" s="1" t="s">
        <v>767</v>
      </c>
      <c r="D6" s="12">
        <v>82</v>
      </c>
      <c r="E6" s="9"/>
      <c r="F6" s="81">
        <v>1656263879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44967</v>
      </c>
      <c r="B7" s="7" t="s">
        <v>155</v>
      </c>
      <c r="C7" s="1" t="s">
        <v>16</v>
      </c>
      <c r="D7" s="12">
        <v>121</v>
      </c>
      <c r="E7" s="12"/>
      <c r="F7" s="82" t="s">
        <v>1335</v>
      </c>
      <c r="H7" s="7"/>
      <c r="I7" s="7"/>
      <c r="J7" s="17"/>
      <c r="K7" s="7"/>
      <c r="L7" s="7"/>
      <c r="M7" s="7"/>
      <c r="N7" s="7"/>
    </row>
    <row r="8" spans="1:14">
      <c r="A8" s="51">
        <v>44967</v>
      </c>
      <c r="B8" s="7" t="s">
        <v>21</v>
      </c>
      <c r="C8" s="1" t="s">
        <v>23</v>
      </c>
      <c r="D8" s="12">
        <v>545.78</v>
      </c>
      <c r="E8" s="9"/>
      <c r="F8" s="65" t="s">
        <v>1336</v>
      </c>
      <c r="H8" s="11"/>
      <c r="I8" s="11"/>
      <c r="J8" s="19"/>
      <c r="K8" s="11"/>
      <c r="L8" s="11"/>
      <c r="M8" s="11"/>
      <c r="N8" s="11"/>
    </row>
    <row r="9" spans="1:14">
      <c r="A9" s="51">
        <v>44967</v>
      </c>
      <c r="B9" s="7" t="s">
        <v>21</v>
      </c>
      <c r="C9" s="1" t="s">
        <v>25</v>
      </c>
      <c r="D9" s="12">
        <v>30.25</v>
      </c>
      <c r="E9" s="16"/>
      <c r="F9" s="83" t="s">
        <v>1337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44967</v>
      </c>
      <c r="B10" s="7" t="s">
        <v>31</v>
      </c>
      <c r="C10" s="1" t="s">
        <v>1305</v>
      </c>
      <c r="D10" s="12">
        <v>64.099999999999994</v>
      </c>
      <c r="E10" s="9"/>
      <c r="F10" s="84" t="s">
        <v>1339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44980</v>
      </c>
      <c r="B11" s="7" t="s">
        <v>863</v>
      </c>
      <c r="C11" s="1" t="s">
        <v>548</v>
      </c>
      <c r="D11" s="12">
        <v>397.43</v>
      </c>
      <c r="E11" s="12"/>
      <c r="F11" s="65" t="s">
        <v>1342</v>
      </c>
      <c r="G11" s="35"/>
      <c r="H11" s="1"/>
      <c r="I11" s="1"/>
      <c r="J11" s="18"/>
      <c r="K11" s="1"/>
      <c r="L11" s="1"/>
      <c r="M11" s="1"/>
      <c r="N11" s="1"/>
    </row>
    <row r="12" spans="1:14">
      <c r="A12" s="51">
        <v>44980</v>
      </c>
      <c r="B12" s="7" t="s">
        <v>367</v>
      </c>
      <c r="C12" s="1" t="s">
        <v>35</v>
      </c>
      <c r="D12" s="12">
        <v>161</v>
      </c>
      <c r="E12" s="9"/>
      <c r="F12" s="65" t="s">
        <v>1343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>
        <v>44973</v>
      </c>
      <c r="B13" s="77">
        <v>44985</v>
      </c>
      <c r="C13" s="1" t="s">
        <v>1277</v>
      </c>
      <c r="D13" s="12">
        <v>0</v>
      </c>
      <c r="E13" s="9"/>
      <c r="F13" s="65" t="s">
        <v>1340</v>
      </c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44980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44966</v>
      </c>
      <c r="B17" s="1" t="s">
        <v>1255</v>
      </c>
      <c r="C17" s="88" t="s">
        <v>41</v>
      </c>
      <c r="D17" s="12">
        <f>D5</f>
        <v>20</v>
      </c>
      <c r="E17" s="1"/>
      <c r="F17" s="90">
        <v>6487406930</v>
      </c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44967</v>
      </c>
      <c r="B21" s="1" t="s">
        <v>27</v>
      </c>
      <c r="C21" s="1" t="s">
        <v>43</v>
      </c>
      <c r="D21" s="12">
        <v>0</v>
      </c>
      <c r="E21" s="1"/>
      <c r="F21" s="89" t="s">
        <v>1338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2931.0299999999997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6161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3229.9700000000003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807.49250000000006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432.49250000000006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E75A-B2B5-4AEB-A250-79CF4D0022A5}">
  <dimension ref="A1:N48"/>
  <sheetViews>
    <sheetView workbookViewId="0">
      <selection activeCell="D31" sqref="D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1341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44981</v>
      </c>
      <c r="B3" s="7" t="s">
        <v>6</v>
      </c>
      <c r="C3" s="1" t="s">
        <v>359</v>
      </c>
      <c r="D3" s="8">
        <v>1175.48</v>
      </c>
      <c r="E3" s="9"/>
      <c r="F3" s="73" t="s">
        <v>1344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44981</v>
      </c>
      <c r="B4" s="7" t="s">
        <v>10</v>
      </c>
      <c r="C4" s="1" t="s">
        <v>13</v>
      </c>
      <c r="D4" s="12">
        <v>234</v>
      </c>
      <c r="E4" s="9"/>
      <c r="F4" s="64" t="s">
        <v>1239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44995</v>
      </c>
      <c r="B6" s="56" t="s">
        <v>303</v>
      </c>
      <c r="C6" s="1" t="s">
        <v>767</v>
      </c>
      <c r="D6" s="12">
        <v>82</v>
      </c>
      <c r="E6" s="9"/>
      <c r="F6" s="81">
        <v>5065336510</v>
      </c>
      <c r="G6" s="1"/>
      <c r="H6" s="1"/>
      <c r="I6" s="1"/>
      <c r="J6" s="18"/>
      <c r="K6" s="1"/>
      <c r="L6" s="1"/>
      <c r="M6" s="1"/>
      <c r="N6" s="1"/>
    </row>
    <row r="7" spans="1:14">
      <c r="A7" s="51">
        <v>44995</v>
      </c>
      <c r="B7" s="7" t="s">
        <v>155</v>
      </c>
      <c r="C7" s="1" t="s">
        <v>16</v>
      </c>
      <c r="D7" s="12">
        <v>121</v>
      </c>
      <c r="E7" s="12"/>
      <c r="F7" s="82" t="s">
        <v>1345</v>
      </c>
      <c r="H7" s="7"/>
      <c r="I7" s="7"/>
      <c r="J7" s="17"/>
      <c r="K7" s="7"/>
      <c r="L7" s="7"/>
      <c r="M7" s="7"/>
      <c r="N7" s="7"/>
    </row>
    <row r="8" spans="1:14">
      <c r="A8" s="51">
        <v>44995</v>
      </c>
      <c r="B8" s="7" t="s">
        <v>21</v>
      </c>
      <c r="C8" s="1" t="s">
        <v>23</v>
      </c>
      <c r="D8" s="12">
        <v>545.78</v>
      </c>
      <c r="E8" s="9"/>
      <c r="F8" s="65" t="s">
        <v>1346</v>
      </c>
      <c r="H8" s="11"/>
      <c r="I8" s="11"/>
      <c r="J8" s="19"/>
      <c r="K8" s="11"/>
      <c r="L8" s="11"/>
      <c r="M8" s="11"/>
      <c r="N8" s="11"/>
    </row>
    <row r="9" spans="1:14">
      <c r="A9" s="51" t="s">
        <v>9</v>
      </c>
      <c r="B9" s="7" t="s">
        <v>21</v>
      </c>
      <c r="C9" s="1" t="s">
        <v>25</v>
      </c>
      <c r="D9" s="12">
        <v>30.25</v>
      </c>
      <c r="E9" s="16"/>
      <c r="F9" s="8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44995</v>
      </c>
      <c r="B10" s="7" t="s">
        <v>31</v>
      </c>
      <c r="C10" s="1" t="s">
        <v>1305</v>
      </c>
      <c r="D10" s="12">
        <v>64.099999999999994</v>
      </c>
      <c r="E10" s="9"/>
      <c r="F10" s="84"/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45009</v>
      </c>
      <c r="B11" s="7" t="s">
        <v>863</v>
      </c>
      <c r="C11" s="1" t="s">
        <v>548</v>
      </c>
      <c r="D11" s="12">
        <v>397.43</v>
      </c>
      <c r="E11" s="12"/>
      <c r="F11" s="65" t="s">
        <v>1348</v>
      </c>
      <c r="G11" s="35"/>
      <c r="H11" s="1"/>
      <c r="I11" s="1"/>
      <c r="J11" s="18"/>
      <c r="K11" s="1"/>
      <c r="L11" s="1"/>
      <c r="M11" s="1"/>
      <c r="N11" s="1"/>
    </row>
    <row r="12" spans="1:14">
      <c r="A12" s="51">
        <v>45009</v>
      </c>
      <c r="B12" s="7" t="s">
        <v>367</v>
      </c>
      <c r="C12" s="1" t="s">
        <v>35</v>
      </c>
      <c r="D12" s="12">
        <v>161</v>
      </c>
      <c r="E12" s="9"/>
      <c r="F12" s="65" t="s">
        <v>1349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77">
        <v>45166</v>
      </c>
      <c r="C13" s="1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45009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44991</v>
      </c>
      <c r="B17" s="1" t="s">
        <v>1255</v>
      </c>
      <c r="C17" s="88" t="s">
        <v>41</v>
      </c>
      <c r="D17" s="12">
        <f>D5</f>
        <v>20</v>
      </c>
      <c r="E17" s="1"/>
      <c r="F17" s="90"/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44995</v>
      </c>
      <c r="B21" s="1" t="s">
        <v>27</v>
      </c>
      <c r="C21" s="1" t="s">
        <v>43</v>
      </c>
      <c r="D21" s="12">
        <v>0</v>
      </c>
      <c r="E21" s="1"/>
      <c r="F21" s="89" t="s">
        <v>1347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2931.0299999999997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6161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3229.9700000000003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807.49250000000006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432.49250000000006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4A03-337E-48DB-B0DF-8824D665AB28}">
  <dimension ref="A1:N48"/>
  <sheetViews>
    <sheetView workbookViewId="0">
      <selection activeCell="D31" sqref="D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1350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45016</v>
      </c>
      <c r="B3" s="7" t="s">
        <v>6</v>
      </c>
      <c r="C3" s="1" t="s">
        <v>359</v>
      </c>
      <c r="D3" s="8">
        <v>1178.45</v>
      </c>
      <c r="E3" s="9"/>
      <c r="F3" s="73" t="s">
        <v>1351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45016</v>
      </c>
      <c r="B4" s="7" t="s">
        <v>10</v>
      </c>
      <c r="C4" s="1" t="s">
        <v>13</v>
      </c>
      <c r="D4" s="12">
        <v>234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45023</v>
      </c>
      <c r="B6" s="56" t="s">
        <v>303</v>
      </c>
      <c r="C6" s="1" t="s">
        <v>767</v>
      </c>
      <c r="D6" s="12">
        <v>82</v>
      </c>
      <c r="E6" s="9"/>
      <c r="F6" s="81">
        <v>3673586942</v>
      </c>
      <c r="G6" s="1"/>
      <c r="H6" s="1"/>
      <c r="I6" s="1"/>
      <c r="J6" s="18"/>
      <c r="K6" s="1"/>
      <c r="L6" s="1"/>
      <c r="M6" s="1"/>
      <c r="N6" s="1"/>
    </row>
    <row r="7" spans="1:14">
      <c r="A7" s="51" t="s">
        <v>9</v>
      </c>
      <c r="B7" s="7" t="s">
        <v>155</v>
      </c>
      <c r="C7" s="1" t="s">
        <v>16</v>
      </c>
      <c r="D7" s="12">
        <v>121</v>
      </c>
      <c r="E7" s="12"/>
      <c r="F7" s="82"/>
      <c r="H7" s="7"/>
      <c r="I7" s="7"/>
      <c r="J7" s="17"/>
      <c r="K7" s="7"/>
      <c r="L7" s="7"/>
      <c r="M7" s="7"/>
      <c r="N7" s="7"/>
    </row>
    <row r="8" spans="1:14">
      <c r="A8" s="51">
        <v>45023</v>
      </c>
      <c r="B8" s="7" t="s">
        <v>21</v>
      </c>
      <c r="C8" s="1" t="s">
        <v>23</v>
      </c>
      <c r="D8" s="12">
        <v>545.78</v>
      </c>
      <c r="E8" s="9"/>
      <c r="F8" s="65"/>
      <c r="H8" s="11"/>
      <c r="I8" s="11"/>
      <c r="J8" s="19"/>
      <c r="K8" s="11"/>
      <c r="L8" s="11"/>
      <c r="M8" s="11"/>
      <c r="N8" s="11"/>
    </row>
    <row r="9" spans="1:14">
      <c r="A9" s="51">
        <v>45023</v>
      </c>
      <c r="B9" s="7" t="s">
        <v>21</v>
      </c>
      <c r="C9" s="1" t="s">
        <v>25</v>
      </c>
      <c r="D9" s="12">
        <v>30.25</v>
      </c>
      <c r="E9" s="16"/>
      <c r="F9" s="83" t="s">
        <v>1353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45016</v>
      </c>
      <c r="B10" s="7" t="s">
        <v>31</v>
      </c>
      <c r="C10" s="1" t="s">
        <v>1305</v>
      </c>
      <c r="D10" s="12">
        <v>64.099999999999994</v>
      </c>
      <c r="E10" s="9"/>
      <c r="F10" s="84" t="s">
        <v>1352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45041</v>
      </c>
      <c r="B11" s="7" t="s">
        <v>863</v>
      </c>
      <c r="C11" s="1" t="s">
        <v>548</v>
      </c>
      <c r="D11" s="12">
        <v>397.43</v>
      </c>
      <c r="E11" s="12"/>
      <c r="F11" s="65" t="s">
        <v>1356</v>
      </c>
      <c r="G11" s="35"/>
      <c r="H11" s="1"/>
      <c r="I11" s="1"/>
      <c r="J11" s="18"/>
      <c r="K11" s="1"/>
      <c r="L11" s="1"/>
      <c r="M11" s="1"/>
      <c r="N11" s="1"/>
    </row>
    <row r="12" spans="1:14">
      <c r="A12" s="51">
        <v>45043</v>
      </c>
      <c r="B12" s="7" t="s">
        <v>367</v>
      </c>
      <c r="C12" s="1" t="s">
        <v>35</v>
      </c>
      <c r="D12" s="12">
        <v>161</v>
      </c>
      <c r="E12" s="9"/>
      <c r="F12" s="65" t="s">
        <v>1355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77">
        <v>45166</v>
      </c>
      <c r="C13" s="1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45043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45023</v>
      </c>
      <c r="B17" s="1" t="s">
        <v>1255</v>
      </c>
      <c r="C17" s="88" t="s">
        <v>41</v>
      </c>
      <c r="D17" s="12">
        <f>D5</f>
        <v>20</v>
      </c>
      <c r="E17" s="1"/>
      <c r="F17" s="90">
        <v>6623277170</v>
      </c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45023</v>
      </c>
      <c r="B21" s="1" t="s">
        <v>27</v>
      </c>
      <c r="C21" s="1" t="s">
        <v>43</v>
      </c>
      <c r="D21" s="12">
        <v>0</v>
      </c>
      <c r="E21" s="1"/>
      <c r="F21" s="89" t="s">
        <v>1354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2933.9999999999995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6161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3227.0000000000005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806.75000000000011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431.75000000000011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CEE9-7A51-4AC0-A032-8C1B3DBA9E7D}">
  <dimension ref="A1:N48"/>
  <sheetViews>
    <sheetView workbookViewId="0">
      <selection activeCell="D31" sqref="D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1357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45044</v>
      </c>
      <c r="B3" s="7" t="s">
        <v>6</v>
      </c>
      <c r="C3" s="1" t="s">
        <v>359</v>
      </c>
      <c r="D3" s="8">
        <v>1178.45</v>
      </c>
      <c r="E3" s="9"/>
      <c r="F3" s="73" t="s">
        <v>1358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45044</v>
      </c>
      <c r="B4" s="7" t="s">
        <v>10</v>
      </c>
      <c r="C4" s="1" t="s">
        <v>13</v>
      </c>
      <c r="D4" s="12">
        <v>234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>
        <v>45051</v>
      </c>
      <c r="B6" s="56" t="s">
        <v>303</v>
      </c>
      <c r="C6" s="1" t="s">
        <v>767</v>
      </c>
      <c r="D6" s="12">
        <v>82</v>
      </c>
      <c r="E6" s="9"/>
      <c r="F6" s="81">
        <v>481906870</v>
      </c>
      <c r="G6" s="1"/>
      <c r="H6" s="1"/>
      <c r="I6" s="1"/>
      <c r="J6" s="18"/>
      <c r="K6" s="1"/>
      <c r="L6" s="1"/>
      <c r="M6" s="1"/>
      <c r="N6" s="1"/>
    </row>
    <row r="7" spans="1:14">
      <c r="A7" s="51" t="s">
        <v>9</v>
      </c>
      <c r="B7" s="7" t="s">
        <v>155</v>
      </c>
      <c r="C7" s="1" t="s">
        <v>16</v>
      </c>
      <c r="D7" s="12">
        <v>121</v>
      </c>
      <c r="E7" s="12"/>
      <c r="F7" s="82"/>
      <c r="H7" s="7"/>
      <c r="I7" s="7"/>
      <c r="J7" s="17"/>
      <c r="K7" s="7"/>
      <c r="L7" s="7"/>
      <c r="M7" s="7"/>
      <c r="N7" s="7"/>
    </row>
    <row r="8" spans="1:14">
      <c r="A8" s="51">
        <v>45051</v>
      </c>
      <c r="B8" s="7" t="s">
        <v>21</v>
      </c>
      <c r="C8" s="1" t="s">
        <v>23</v>
      </c>
      <c r="D8" s="12">
        <v>545.78</v>
      </c>
      <c r="E8" s="9"/>
      <c r="F8" s="65" t="s">
        <v>1361</v>
      </c>
      <c r="H8" s="11"/>
      <c r="I8" s="11"/>
      <c r="J8" s="19"/>
      <c r="K8" s="11"/>
      <c r="L8" s="11"/>
      <c r="M8" s="11"/>
      <c r="N8" s="11"/>
    </row>
    <row r="9" spans="1:14">
      <c r="A9" t="s">
        <v>9</v>
      </c>
      <c r="B9" s="7" t="s">
        <v>21</v>
      </c>
      <c r="C9" s="1" t="s">
        <v>25</v>
      </c>
      <c r="D9" s="12">
        <v>30.25</v>
      </c>
      <c r="E9" s="16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45051</v>
      </c>
      <c r="B10" s="7" t="s">
        <v>31</v>
      </c>
      <c r="C10" s="1" t="s">
        <v>1305</v>
      </c>
      <c r="D10" s="12">
        <v>64.099999999999994</v>
      </c>
      <c r="E10" s="9"/>
      <c r="F10" s="83" t="s">
        <v>1359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45065</v>
      </c>
      <c r="B11" s="7" t="s">
        <v>863</v>
      </c>
      <c r="C11" s="1" t="s">
        <v>548</v>
      </c>
      <c r="D11" s="12">
        <v>397.43</v>
      </c>
      <c r="E11" s="12"/>
      <c r="F11" s="65" t="s">
        <v>1364</v>
      </c>
      <c r="G11" s="35"/>
      <c r="H11" s="1"/>
      <c r="I11" s="1"/>
      <c r="J11" s="18"/>
      <c r="K11" s="1"/>
      <c r="L11" s="1"/>
      <c r="M11" s="1"/>
      <c r="N11" s="1"/>
    </row>
    <row r="12" spans="1:14">
      <c r="A12" s="51">
        <v>45065</v>
      </c>
      <c r="B12" s="7" t="s">
        <v>367</v>
      </c>
      <c r="C12" s="1" t="s">
        <v>35</v>
      </c>
      <c r="D12" s="12">
        <v>161</v>
      </c>
      <c r="E12" s="9"/>
      <c r="F12" s="65" t="s">
        <v>1365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77">
        <v>45166</v>
      </c>
      <c r="C13" s="1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45065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45051</v>
      </c>
      <c r="B17" s="1" t="s">
        <v>1255</v>
      </c>
      <c r="C17" s="88" t="s">
        <v>41</v>
      </c>
      <c r="D17" s="12">
        <f>D5</f>
        <v>20</v>
      </c>
      <c r="E17" s="1"/>
      <c r="F17" s="90">
        <v>6683661696</v>
      </c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45051</v>
      </c>
      <c r="B21" s="1" t="s">
        <v>27</v>
      </c>
      <c r="C21" s="1" t="s">
        <v>43</v>
      </c>
      <c r="D21" s="12">
        <v>0</v>
      </c>
      <c r="E21" s="1"/>
      <c r="F21" s="89" t="s">
        <v>1360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2933.9999999999995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6449.26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3515.2600000000007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878.81500000000017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8797-0EAC-43B6-89D3-AF0E43106FA7}">
  <dimension ref="A1:N47"/>
  <sheetViews>
    <sheetView workbookViewId="0">
      <selection activeCell="I2" sqref="I2: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1362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45076</v>
      </c>
      <c r="B3" s="7" t="s">
        <v>6</v>
      </c>
      <c r="C3" s="1" t="s">
        <v>359</v>
      </c>
      <c r="D3" s="8">
        <v>1178.45</v>
      </c>
      <c r="E3" s="9"/>
      <c r="F3" s="73" t="s">
        <v>1366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45076</v>
      </c>
      <c r="B4" s="7" t="s">
        <v>10</v>
      </c>
      <c r="C4" s="1" t="s">
        <v>13</v>
      </c>
      <c r="D4" s="12">
        <v>243</v>
      </c>
      <c r="E4" s="9"/>
      <c r="F4" s="64" t="s">
        <v>1367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45089</v>
      </c>
      <c r="B6" s="7" t="s">
        <v>155</v>
      </c>
      <c r="C6" s="1" t="s">
        <v>16</v>
      </c>
      <c r="D6" s="12">
        <v>121</v>
      </c>
      <c r="E6" s="12"/>
      <c r="F6" s="65" t="s">
        <v>1369</v>
      </c>
      <c r="H6" s="7"/>
      <c r="I6" s="7"/>
      <c r="J6" s="17"/>
      <c r="K6" s="7"/>
      <c r="L6" s="7"/>
      <c r="M6" s="7"/>
      <c r="N6" s="7"/>
    </row>
    <row r="7" spans="1:14">
      <c r="A7" s="85">
        <v>45093</v>
      </c>
      <c r="B7" s="7" t="s">
        <v>21</v>
      </c>
      <c r="C7" s="1" t="s">
        <v>23</v>
      </c>
      <c r="D7" s="12">
        <v>395.79</v>
      </c>
      <c r="E7" s="9"/>
      <c r="F7">
        <v>107333603</v>
      </c>
      <c r="H7" s="11"/>
      <c r="I7" s="11"/>
      <c r="J7" s="19"/>
      <c r="K7" s="11"/>
      <c r="L7" s="11"/>
      <c r="M7" s="11"/>
      <c r="N7" s="11"/>
    </row>
    <row r="8" spans="1:14" ht="26.25">
      <c r="A8" s="85">
        <v>45081</v>
      </c>
      <c r="B8" s="7" t="s">
        <v>21</v>
      </c>
      <c r="C8" s="1" t="s">
        <v>25</v>
      </c>
      <c r="D8" s="12">
        <v>30.25</v>
      </c>
      <c r="E8" s="16"/>
      <c r="F8" s="93" t="s">
        <v>1368</v>
      </c>
      <c r="G8" s="11"/>
      <c r="H8" s="11"/>
      <c r="I8" s="11"/>
      <c r="J8" s="19"/>
      <c r="K8" s="11"/>
      <c r="L8" s="11"/>
      <c r="M8" s="11"/>
      <c r="N8" s="11"/>
    </row>
    <row r="9" spans="1:14">
      <c r="A9" s="51">
        <v>45093</v>
      </c>
      <c r="B9" s="7" t="s">
        <v>31</v>
      </c>
      <c r="C9" s="1" t="s">
        <v>1305</v>
      </c>
      <c r="D9" s="12">
        <v>64.099999999999994</v>
      </c>
      <c r="E9" s="9"/>
      <c r="F9" s="83" t="s">
        <v>1372</v>
      </c>
      <c r="G9" s="20"/>
      <c r="H9" s="11"/>
      <c r="I9" s="11"/>
      <c r="J9" s="19"/>
      <c r="K9" s="11"/>
      <c r="L9" s="11"/>
      <c r="M9" s="11"/>
      <c r="N9" s="11"/>
    </row>
    <row r="10" spans="1:14">
      <c r="A10" s="51">
        <v>45093</v>
      </c>
      <c r="B10" s="7" t="s">
        <v>863</v>
      </c>
      <c r="C10" s="1" t="s">
        <v>548</v>
      </c>
      <c r="D10" s="12">
        <v>397.43</v>
      </c>
      <c r="E10" s="12"/>
      <c r="F10" s="65" t="s">
        <v>1373</v>
      </c>
      <c r="G10" s="35"/>
      <c r="H10" s="1"/>
      <c r="I10" s="1"/>
      <c r="J10" s="18"/>
      <c r="K10" s="1"/>
      <c r="L10" s="1"/>
      <c r="M10" s="1"/>
      <c r="N10" s="1"/>
    </row>
    <row r="11" spans="1:14">
      <c r="A11" s="51">
        <v>45093</v>
      </c>
      <c r="B11" s="7" t="s">
        <v>367</v>
      </c>
      <c r="C11" s="1" t="s">
        <v>35</v>
      </c>
      <c r="D11" s="12">
        <v>161</v>
      </c>
      <c r="E11" s="9"/>
      <c r="F11" s="65"/>
      <c r="G11" s="7"/>
      <c r="H11" s="7"/>
      <c r="I11" s="7"/>
      <c r="J11" s="17"/>
      <c r="K11" s="7"/>
      <c r="L11" s="7"/>
      <c r="M11" s="7"/>
      <c r="N11" s="7"/>
    </row>
    <row r="12" spans="1:14">
      <c r="A12" s="51" t="s">
        <v>9</v>
      </c>
      <c r="B12" s="77">
        <v>45166</v>
      </c>
      <c r="C12" s="1" t="s">
        <v>1277</v>
      </c>
      <c r="D12" s="12">
        <v>0</v>
      </c>
      <c r="E12" s="9"/>
      <c r="F12" s="65"/>
      <c r="G12" s="7"/>
      <c r="H12" s="7"/>
      <c r="I12" s="7"/>
      <c r="J12" s="17"/>
      <c r="K12" s="7"/>
      <c r="L12" s="7"/>
      <c r="M12" s="7"/>
      <c r="N12" s="7"/>
    </row>
    <row r="13" spans="1:14">
      <c r="A13" s="52">
        <v>45096</v>
      </c>
      <c r="B13" s="7" t="s">
        <v>1257</v>
      </c>
      <c r="C13" s="1" t="s">
        <v>1254</v>
      </c>
      <c r="D13" s="12">
        <v>79.989999999999995</v>
      </c>
      <c r="E13" s="1"/>
      <c r="F13" s="65"/>
      <c r="G13" s="1"/>
      <c r="H13" s="1"/>
      <c r="I13" s="1"/>
      <c r="J13" s="18"/>
      <c r="K13" s="1"/>
      <c r="L13" s="1"/>
      <c r="M13" s="1"/>
      <c r="N13" s="1"/>
    </row>
    <row r="14" spans="1:14">
      <c r="A14" s="52"/>
      <c r="B14" s="1"/>
      <c r="C14" s="1"/>
      <c r="D14" s="12">
        <v>0</v>
      </c>
      <c r="E14" s="1"/>
      <c r="F14" s="65"/>
      <c r="G14" s="1"/>
      <c r="H14" s="68"/>
      <c r="I14" s="1"/>
      <c r="J14" s="18"/>
      <c r="K14" s="1"/>
      <c r="L14" s="1"/>
      <c r="M14" s="1"/>
      <c r="N14" s="1"/>
    </row>
    <row r="15" spans="1:14">
      <c r="A15" s="52"/>
      <c r="B15" s="1"/>
      <c r="C15" s="22" t="s">
        <v>37</v>
      </c>
      <c r="D15" s="1"/>
      <c r="E15" s="1"/>
      <c r="F15" s="65"/>
      <c r="G15" s="1"/>
      <c r="H15" s="1"/>
      <c r="I15" s="1"/>
      <c r="J15" s="18"/>
      <c r="K15" s="1"/>
      <c r="L15" s="1"/>
      <c r="M15" s="1"/>
      <c r="N15" s="1"/>
    </row>
    <row r="16" spans="1:14" ht="16.5">
      <c r="A16" s="52">
        <v>45081</v>
      </c>
      <c r="B16" s="1" t="s">
        <v>1255</v>
      </c>
      <c r="C16" s="88" t="s">
        <v>41</v>
      </c>
      <c r="D16" s="12">
        <f>D5</f>
        <v>20</v>
      </c>
      <c r="E16" s="1"/>
      <c r="F16" s="90">
        <v>6747553108</v>
      </c>
      <c r="G16" s="1"/>
      <c r="H16" s="1"/>
      <c r="I16" s="1"/>
      <c r="J16" s="18"/>
      <c r="K16" s="1"/>
      <c r="L16" s="1"/>
      <c r="M16" s="1"/>
      <c r="N16" s="1"/>
    </row>
    <row r="17" spans="1:14">
      <c r="A17" s="51">
        <v>45089</v>
      </c>
      <c r="B17" s="1" t="s">
        <v>45</v>
      </c>
      <c r="C17" s="1" t="s">
        <v>258</v>
      </c>
      <c r="D17" s="12">
        <v>0</v>
      </c>
      <c r="E17" s="1"/>
      <c r="F17" s="65" t="s">
        <v>1370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83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74"/>
      <c r="H19" s="1"/>
      <c r="I19" s="1"/>
      <c r="J19" s="18"/>
      <c r="K19" s="1"/>
      <c r="L19" s="1"/>
      <c r="M19" s="1"/>
      <c r="N19" s="1"/>
    </row>
    <row r="20" spans="1:14" ht="15.75">
      <c r="A20" s="53">
        <v>45093</v>
      </c>
      <c r="B20" s="1" t="s">
        <v>27</v>
      </c>
      <c r="C20" s="1" t="s">
        <v>43</v>
      </c>
      <c r="D20" s="12">
        <v>0</v>
      </c>
      <c r="E20" s="1"/>
      <c r="F20" s="89" t="s">
        <v>1371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 t="s">
        <v>9</v>
      </c>
      <c r="B21" s="1" t="s">
        <v>51</v>
      </c>
      <c r="C21" s="1" t="s">
        <v>1312</v>
      </c>
      <c r="D21" s="12">
        <v>0</v>
      </c>
      <c r="E21" s="1"/>
      <c r="F21" s="65"/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65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65"/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1313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2711.0099999999998</v>
      </c>
      <c r="E27" s="1"/>
      <c r="F27" s="65"/>
      <c r="G27" s="1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6449.26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3738.2500000000005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934.56250000000011</v>
      </c>
      <c r="D34" s="12" t="s">
        <v>1363</v>
      </c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F36" s="66"/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DD5A-A831-4E88-8E10-3163ED140FEB}">
  <dimension ref="A1:N47"/>
  <sheetViews>
    <sheetView workbookViewId="0">
      <selection activeCell="I2" sqref="I2: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1374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45107</v>
      </c>
      <c r="B3" s="7" t="s">
        <v>6</v>
      </c>
      <c r="C3" s="1" t="s">
        <v>359</v>
      </c>
      <c r="D3" s="8">
        <v>1178.45</v>
      </c>
      <c r="E3" s="9"/>
      <c r="F3" s="73" t="s">
        <v>1375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45107</v>
      </c>
      <c r="B4" s="7" t="s">
        <v>10</v>
      </c>
      <c r="C4" s="1" t="s">
        <v>13</v>
      </c>
      <c r="D4" s="12">
        <v>243</v>
      </c>
      <c r="E4" s="9"/>
      <c r="F4" s="64" t="s">
        <v>1239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45121</v>
      </c>
      <c r="B6" s="7" t="s">
        <v>155</v>
      </c>
      <c r="C6" s="1" t="s">
        <v>16</v>
      </c>
      <c r="D6" s="12">
        <v>121</v>
      </c>
      <c r="E6" s="12"/>
      <c r="F6" s="65"/>
      <c r="H6" s="7"/>
      <c r="I6" s="7"/>
      <c r="J6" s="17"/>
      <c r="K6" s="7"/>
      <c r="L6" s="7"/>
      <c r="M6" s="7"/>
      <c r="N6" s="7"/>
    </row>
    <row r="7" spans="1:14">
      <c r="A7" s="85">
        <v>45107</v>
      </c>
      <c r="B7" s="7" t="s">
        <v>21</v>
      </c>
      <c r="C7" s="1" t="s">
        <v>23</v>
      </c>
      <c r="D7" s="12">
        <v>395.79</v>
      </c>
      <c r="E7" s="9"/>
      <c r="F7"/>
      <c r="H7" s="11"/>
      <c r="I7" s="11"/>
      <c r="J7" s="19"/>
      <c r="K7" s="11"/>
      <c r="L7" s="11"/>
      <c r="M7" s="11"/>
      <c r="N7" s="11"/>
    </row>
    <row r="8" spans="1:14">
      <c r="A8" s="85" t="s">
        <v>9</v>
      </c>
      <c r="B8" s="7" t="s">
        <v>21</v>
      </c>
      <c r="C8" s="1" t="s">
        <v>25</v>
      </c>
      <c r="D8" s="12">
        <v>30.25</v>
      </c>
      <c r="E8" s="16"/>
      <c r="F8" s="93"/>
      <c r="G8" s="11"/>
      <c r="H8" s="11"/>
      <c r="I8" s="11"/>
      <c r="J8" s="19"/>
      <c r="K8" s="11"/>
      <c r="L8" s="11"/>
      <c r="M8" s="11"/>
      <c r="N8" s="11"/>
    </row>
    <row r="9" spans="1:14">
      <c r="A9" s="51">
        <v>45121</v>
      </c>
      <c r="B9" s="7" t="s">
        <v>31</v>
      </c>
      <c r="C9" s="1" t="s">
        <v>1305</v>
      </c>
      <c r="D9" s="12">
        <v>64.099999999999994</v>
      </c>
      <c r="E9" s="9"/>
      <c r="F9" s="83"/>
      <c r="G9" s="20"/>
      <c r="H9" s="11"/>
      <c r="I9" s="11"/>
      <c r="J9" s="19"/>
      <c r="K9" s="11"/>
      <c r="L9" s="11"/>
      <c r="M9" s="11"/>
      <c r="N9" s="11"/>
    </row>
    <row r="10" spans="1:14">
      <c r="A10" s="51">
        <v>45121</v>
      </c>
      <c r="B10" s="7" t="s">
        <v>863</v>
      </c>
      <c r="C10" s="1" t="s">
        <v>548</v>
      </c>
      <c r="D10" s="12">
        <v>397.43</v>
      </c>
      <c r="E10" s="12"/>
      <c r="F10" s="65" t="s">
        <v>1377</v>
      </c>
      <c r="G10" s="35"/>
      <c r="H10" s="1"/>
      <c r="I10" s="1"/>
      <c r="J10" s="18"/>
      <c r="K10" s="1"/>
      <c r="L10" s="1"/>
      <c r="M10" s="1"/>
      <c r="N10" s="1"/>
    </row>
    <row r="11" spans="1:14">
      <c r="A11" s="51">
        <v>45121</v>
      </c>
      <c r="B11" s="7" t="s">
        <v>367</v>
      </c>
      <c r="C11" s="1" t="s">
        <v>35</v>
      </c>
      <c r="D11" s="12">
        <v>161</v>
      </c>
      <c r="E11" s="9"/>
      <c r="F11" s="65" t="s">
        <v>1378</v>
      </c>
      <c r="G11" s="7"/>
      <c r="H11" s="7"/>
      <c r="I11" s="7"/>
      <c r="J11" s="17"/>
      <c r="K11" s="7"/>
      <c r="L11" s="7"/>
      <c r="M11" s="7"/>
      <c r="N11" s="7"/>
    </row>
    <row r="12" spans="1:14">
      <c r="A12" s="51" t="s">
        <v>9</v>
      </c>
      <c r="B12" s="77">
        <v>45166</v>
      </c>
      <c r="C12" s="1" t="s">
        <v>1277</v>
      </c>
      <c r="D12" s="12">
        <v>0</v>
      </c>
      <c r="E12" s="9"/>
      <c r="F12" s="65"/>
      <c r="G12" s="7"/>
      <c r="H12" s="7"/>
      <c r="I12" s="7"/>
      <c r="J12" s="17"/>
      <c r="K12" s="7"/>
      <c r="L12" s="7"/>
      <c r="M12" s="7"/>
      <c r="N12" s="7"/>
    </row>
    <row r="13" spans="1:14">
      <c r="A13" s="95">
        <v>45132</v>
      </c>
      <c r="B13" s="7" t="s">
        <v>1257</v>
      </c>
      <c r="C13" s="1" t="s">
        <v>1254</v>
      </c>
      <c r="D13" s="12">
        <v>79.989999999999995</v>
      </c>
      <c r="E13" s="1"/>
      <c r="F13" s="65"/>
      <c r="G13" s="1"/>
      <c r="H13" s="1"/>
      <c r="I13" s="1"/>
      <c r="J13" s="18"/>
      <c r="K13" s="1"/>
      <c r="L13" s="1"/>
      <c r="M13" s="1"/>
      <c r="N13" s="1"/>
    </row>
    <row r="14" spans="1:14">
      <c r="A14" s="52"/>
      <c r="B14" s="1"/>
      <c r="C14" s="1"/>
      <c r="D14" s="12">
        <v>0</v>
      </c>
      <c r="E14" s="1"/>
      <c r="F14" s="65"/>
      <c r="G14" s="1"/>
      <c r="H14" s="68"/>
      <c r="I14" s="1"/>
      <c r="J14" s="18"/>
      <c r="K14" s="1"/>
      <c r="L14" s="1"/>
      <c r="M14" s="1"/>
      <c r="N14" s="1"/>
    </row>
    <row r="15" spans="1:14">
      <c r="A15" s="52"/>
      <c r="B15" s="1"/>
      <c r="C15" s="22" t="s">
        <v>37</v>
      </c>
      <c r="D15" s="1"/>
      <c r="E15" s="1"/>
      <c r="F15" s="65"/>
      <c r="G15" s="1"/>
      <c r="H15" s="1"/>
      <c r="I15" s="1"/>
      <c r="J15" s="18"/>
      <c r="K15" s="1"/>
      <c r="L15" s="1"/>
      <c r="M15" s="1"/>
      <c r="N15" s="1"/>
    </row>
    <row r="16" spans="1:14" ht="16.5">
      <c r="A16" s="52">
        <v>45112</v>
      </c>
      <c r="B16" s="1" t="s">
        <v>1255</v>
      </c>
      <c r="C16" s="88" t="s">
        <v>41</v>
      </c>
      <c r="D16" s="12">
        <f>D5</f>
        <v>20</v>
      </c>
      <c r="E16" s="1"/>
      <c r="F16" s="90"/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83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74"/>
      <c r="H19" s="1"/>
      <c r="I19" s="1"/>
      <c r="J19" s="18"/>
      <c r="K19" s="1"/>
      <c r="L19" s="1"/>
      <c r="M19" s="1"/>
      <c r="N19" s="1"/>
    </row>
    <row r="20" spans="1:14" ht="15.75">
      <c r="A20" s="53">
        <v>45121</v>
      </c>
      <c r="B20" s="1" t="s">
        <v>27</v>
      </c>
      <c r="C20" s="1" t="s">
        <v>43</v>
      </c>
      <c r="D20" s="12">
        <v>0</v>
      </c>
      <c r="E20" s="1"/>
      <c r="F20" s="89" t="s">
        <v>1376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 t="s">
        <v>9</v>
      </c>
      <c r="B21" s="1" t="s">
        <v>51</v>
      </c>
      <c r="C21" s="1" t="s">
        <v>1312</v>
      </c>
      <c r="D21" s="12">
        <v>0</v>
      </c>
      <c r="E21" s="1"/>
      <c r="F21" s="65"/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65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65"/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1313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2711.0099999999998</v>
      </c>
      <c r="E27" s="1"/>
      <c r="F27" s="65"/>
      <c r="G27" s="1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6449.26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3738.2500000000005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934.56250000000011</v>
      </c>
      <c r="D34" s="12" t="s">
        <v>1363</v>
      </c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F36" s="66"/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553C-F645-4101-87E6-17A8D3348B6F}">
  <dimension ref="A1:N47"/>
  <sheetViews>
    <sheetView workbookViewId="0">
      <selection activeCell="A14" sqref="A1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1379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45134</v>
      </c>
      <c r="B3" s="7" t="s">
        <v>6</v>
      </c>
      <c r="C3" s="1" t="s">
        <v>359</v>
      </c>
      <c r="D3" s="8">
        <v>1178.45</v>
      </c>
      <c r="E3" s="9"/>
      <c r="F3" s="73" t="s">
        <v>1380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45134</v>
      </c>
      <c r="B4" s="7" t="s">
        <v>10</v>
      </c>
      <c r="C4" s="1" t="s">
        <v>13</v>
      </c>
      <c r="D4" s="12">
        <v>243</v>
      </c>
      <c r="E4" s="9"/>
      <c r="F4" s="64" t="s">
        <v>1239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>
      <c r="A6" s="51">
        <v>45149</v>
      </c>
      <c r="B6" s="7" t="s">
        <v>155</v>
      </c>
      <c r="C6" s="1" t="s">
        <v>16</v>
      </c>
      <c r="D6" s="12">
        <v>121</v>
      </c>
      <c r="E6" s="12"/>
      <c r="F6" s="65" t="s">
        <v>1382</v>
      </c>
      <c r="H6" s="7"/>
      <c r="I6" s="7"/>
      <c r="J6" s="17"/>
      <c r="K6" s="7"/>
      <c r="L6" s="7"/>
      <c r="M6" s="7"/>
      <c r="N6" s="7"/>
    </row>
    <row r="7" spans="1:14">
      <c r="A7" s="85">
        <v>45149</v>
      </c>
      <c r="B7" s="7" t="s">
        <v>21</v>
      </c>
      <c r="C7" s="1" t="s">
        <v>23</v>
      </c>
      <c r="D7" s="12">
        <v>395.76</v>
      </c>
      <c r="E7" s="9"/>
      <c r="F7">
        <v>109495579</v>
      </c>
      <c r="H7" s="11"/>
      <c r="I7" s="11"/>
      <c r="J7" s="19"/>
      <c r="K7" s="11"/>
      <c r="L7" s="11"/>
      <c r="M7" s="11"/>
      <c r="N7" s="11"/>
    </row>
    <row r="8" spans="1:14">
      <c r="A8" s="85">
        <v>45149</v>
      </c>
      <c r="B8" s="7" t="s">
        <v>21</v>
      </c>
      <c r="C8" s="1" t="s">
        <v>25</v>
      </c>
      <c r="D8" s="12">
        <v>30.25</v>
      </c>
      <c r="E8" s="16"/>
      <c r="F8" s="93" t="s">
        <v>1381</v>
      </c>
      <c r="G8" s="11"/>
      <c r="H8" s="11"/>
      <c r="I8" s="11"/>
      <c r="J8" s="19"/>
      <c r="K8" s="11"/>
      <c r="L8" s="11"/>
      <c r="M8" s="11"/>
      <c r="N8" s="11"/>
    </row>
    <row r="9" spans="1:14">
      <c r="A9" s="51">
        <v>45149</v>
      </c>
      <c r="B9" s="7" t="s">
        <v>31</v>
      </c>
      <c r="C9" s="1" t="s">
        <v>1305</v>
      </c>
      <c r="D9" s="12">
        <v>64.099999999999994</v>
      </c>
      <c r="E9" s="9"/>
      <c r="F9" s="83"/>
      <c r="G9" s="20"/>
      <c r="H9" s="11"/>
      <c r="I9" s="11"/>
      <c r="J9" s="19"/>
      <c r="K9" s="11"/>
      <c r="L9" s="11"/>
      <c r="M9" s="11"/>
      <c r="N9" s="11"/>
    </row>
    <row r="10" spans="1:14">
      <c r="A10" s="51">
        <v>45163</v>
      </c>
      <c r="B10" s="7" t="s">
        <v>863</v>
      </c>
      <c r="C10" s="1" t="s">
        <v>548</v>
      </c>
      <c r="D10" s="12">
        <v>397.43</v>
      </c>
      <c r="E10" s="12"/>
      <c r="F10" s="65" t="s">
        <v>1387</v>
      </c>
      <c r="G10" s="35"/>
      <c r="H10" s="1"/>
      <c r="I10" s="1"/>
      <c r="J10" s="18"/>
      <c r="K10" s="1"/>
      <c r="L10" s="1"/>
      <c r="M10" s="1"/>
      <c r="N10" s="1"/>
    </row>
    <row r="11" spans="1:14">
      <c r="A11" s="51">
        <v>45163</v>
      </c>
      <c r="B11" s="7" t="s">
        <v>367</v>
      </c>
      <c r="C11" s="1" t="s">
        <v>35</v>
      </c>
      <c r="D11" s="12">
        <v>161</v>
      </c>
      <c r="E11" s="9"/>
      <c r="F11" s="65" t="s">
        <v>1388</v>
      </c>
      <c r="G11" s="7"/>
      <c r="H11" s="7"/>
      <c r="I11" s="7"/>
      <c r="J11" s="17"/>
      <c r="K11" s="7"/>
      <c r="L11" s="7"/>
      <c r="M11" s="7"/>
      <c r="N11" s="7"/>
    </row>
    <row r="12" spans="1:14">
      <c r="A12" s="51">
        <v>45149</v>
      </c>
      <c r="B12" s="77">
        <v>45166</v>
      </c>
      <c r="C12" s="94" t="s">
        <v>1277</v>
      </c>
      <c r="D12" s="12">
        <v>0</v>
      </c>
      <c r="E12" s="9"/>
      <c r="F12" s="65" t="s">
        <v>1383</v>
      </c>
      <c r="G12" s="7"/>
      <c r="H12" s="7"/>
      <c r="I12" s="7"/>
      <c r="J12" s="17"/>
      <c r="K12" s="7"/>
      <c r="L12" s="7"/>
      <c r="M12" s="7"/>
      <c r="N12" s="7"/>
    </row>
    <row r="13" spans="1:14">
      <c r="A13" s="52">
        <v>45163</v>
      </c>
      <c r="B13" s="7" t="s">
        <v>1257</v>
      </c>
      <c r="C13" s="1" t="s">
        <v>1254</v>
      </c>
      <c r="D13" s="12">
        <v>79.989999999999995</v>
      </c>
      <c r="E13" s="1"/>
      <c r="F13" s="65"/>
      <c r="G13" s="1"/>
      <c r="H13" s="1"/>
      <c r="I13" s="1"/>
      <c r="J13" s="18"/>
      <c r="K13" s="1"/>
      <c r="L13" s="1"/>
      <c r="M13" s="1"/>
      <c r="N13" s="1"/>
    </row>
    <row r="14" spans="1:14">
      <c r="A14" s="52"/>
      <c r="B14" s="1"/>
      <c r="C14" s="1"/>
      <c r="D14" s="12">
        <v>0</v>
      </c>
      <c r="E14" s="1"/>
      <c r="F14" s="65"/>
      <c r="G14" s="1"/>
      <c r="H14" s="68"/>
      <c r="I14" s="1"/>
      <c r="J14" s="18"/>
      <c r="K14" s="1"/>
      <c r="L14" s="1"/>
      <c r="M14" s="1"/>
      <c r="N14" s="1"/>
    </row>
    <row r="15" spans="1:14">
      <c r="A15" s="52"/>
      <c r="B15" s="1"/>
      <c r="C15" s="22" t="s">
        <v>37</v>
      </c>
      <c r="D15" s="1"/>
      <c r="E15" s="1"/>
      <c r="F15" s="65"/>
      <c r="G15" s="1"/>
      <c r="H15" s="1"/>
      <c r="I15" s="1"/>
      <c r="J15" s="18"/>
      <c r="K15" s="1"/>
      <c r="L15" s="1"/>
      <c r="M15" s="1"/>
      <c r="N15" s="1"/>
    </row>
    <row r="16" spans="1:14" ht="16.5">
      <c r="A16" s="52">
        <v>45145</v>
      </c>
      <c r="B16" s="1" t="s">
        <v>1255</v>
      </c>
      <c r="C16" s="88" t="s">
        <v>41</v>
      </c>
      <c r="D16" s="12">
        <f>D5</f>
        <v>20</v>
      </c>
      <c r="E16" s="1"/>
      <c r="F16" s="90">
        <v>6884874976</v>
      </c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83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74"/>
      <c r="H19" s="1"/>
      <c r="I19" s="1"/>
      <c r="J19" s="18"/>
      <c r="K19" s="1"/>
      <c r="L19" s="1"/>
      <c r="M19" s="1"/>
      <c r="N19" s="1"/>
    </row>
    <row r="20" spans="1:14" ht="15.75">
      <c r="A20" s="53">
        <v>45149</v>
      </c>
      <c r="B20" s="1" t="s">
        <v>27</v>
      </c>
      <c r="C20" s="1" t="s">
        <v>43</v>
      </c>
      <c r="D20" s="12">
        <v>0</v>
      </c>
      <c r="E20" s="1"/>
      <c r="F20" s="89" t="s">
        <v>1384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 t="s">
        <v>9</v>
      </c>
      <c r="B21" s="1" t="s">
        <v>51</v>
      </c>
      <c r="C21" s="1" t="s">
        <v>1312</v>
      </c>
      <c r="D21" s="12">
        <v>0</v>
      </c>
      <c r="E21" s="1"/>
      <c r="F21" s="65"/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65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65"/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1313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2710.9799999999996</v>
      </c>
      <c r="E27" s="1"/>
      <c r="F27" s="65"/>
      <c r="G27" s="1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6449.26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3738.2800000000007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934.57000000000016</v>
      </c>
      <c r="D34" s="12" t="s">
        <v>1363</v>
      </c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F36" s="66"/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22C3-73B0-4144-B3AC-042D821EB046}">
  <dimension ref="A1:N47"/>
  <sheetViews>
    <sheetView workbookViewId="0">
      <selection activeCell="I2" sqref="I2: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1385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45170</v>
      </c>
      <c r="B3" s="7" t="s">
        <v>6</v>
      </c>
      <c r="C3" s="1" t="s">
        <v>359</v>
      </c>
      <c r="D3" s="8">
        <v>1178.45</v>
      </c>
      <c r="E3" s="9"/>
      <c r="F3" s="73" t="s">
        <v>1389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45169</v>
      </c>
      <c r="B4" s="7" t="s">
        <v>10</v>
      </c>
      <c r="C4" s="1" t="s">
        <v>13</v>
      </c>
      <c r="D4" s="12">
        <v>243</v>
      </c>
      <c r="E4" s="9"/>
      <c r="F4" s="64" t="s">
        <v>1239</v>
      </c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96"/>
      <c r="J5" s="17"/>
      <c r="K5" s="7"/>
      <c r="L5" s="7"/>
      <c r="M5" s="7"/>
      <c r="N5" s="7"/>
    </row>
    <row r="6" spans="1:14">
      <c r="A6" s="51">
        <v>45177</v>
      </c>
      <c r="B6" s="7" t="s">
        <v>155</v>
      </c>
      <c r="C6" s="1" t="s">
        <v>16</v>
      </c>
      <c r="D6" s="12">
        <v>121</v>
      </c>
      <c r="E6" s="12"/>
      <c r="F6" s="65" t="s">
        <v>1390</v>
      </c>
      <c r="H6" s="7"/>
      <c r="I6" s="96"/>
      <c r="J6" s="17"/>
      <c r="K6" s="7"/>
      <c r="L6" s="7"/>
      <c r="M6" s="7"/>
      <c r="N6" s="7"/>
    </row>
    <row r="7" spans="1:14">
      <c r="A7" s="85">
        <v>45177</v>
      </c>
      <c r="B7" s="7" t="s">
        <v>21</v>
      </c>
      <c r="C7" s="1" t="s">
        <v>23</v>
      </c>
      <c r="D7" s="12">
        <v>395.76</v>
      </c>
      <c r="E7" s="9"/>
      <c r="F7">
        <v>110580060</v>
      </c>
      <c r="H7" s="11"/>
      <c r="I7" s="11"/>
      <c r="J7" s="19"/>
      <c r="K7" s="11"/>
      <c r="L7" s="11"/>
      <c r="M7" s="11"/>
      <c r="N7" s="11"/>
    </row>
    <row r="8" spans="1:14">
      <c r="A8" s="85" t="s">
        <v>9</v>
      </c>
      <c r="B8" s="7" t="s">
        <v>21</v>
      </c>
      <c r="C8" s="1" t="s">
        <v>25</v>
      </c>
      <c r="D8" s="12">
        <v>30.25</v>
      </c>
      <c r="E8" s="16"/>
      <c r="F8" s="93"/>
      <c r="G8" s="11"/>
      <c r="H8" s="11"/>
      <c r="I8" s="11"/>
      <c r="J8" s="19"/>
      <c r="K8" s="11"/>
      <c r="L8" s="11"/>
      <c r="M8" s="11"/>
      <c r="N8" s="11"/>
    </row>
    <row r="9" spans="1:14">
      <c r="A9" s="51">
        <v>45177</v>
      </c>
      <c r="B9" s="7" t="s">
        <v>31</v>
      </c>
      <c r="C9" s="1" t="s">
        <v>1305</v>
      </c>
      <c r="D9" s="12">
        <v>64.099999999999994</v>
      </c>
      <c r="E9" s="9"/>
      <c r="F9" s="83" t="s">
        <v>1287</v>
      </c>
      <c r="G9" s="20"/>
      <c r="H9" s="11"/>
      <c r="I9" s="11"/>
      <c r="J9" s="19"/>
      <c r="K9" s="11"/>
      <c r="L9" s="11"/>
      <c r="M9" s="11"/>
      <c r="N9" s="11"/>
    </row>
    <row r="10" spans="1:14">
      <c r="A10" s="51">
        <v>45191</v>
      </c>
      <c r="B10" s="7" t="s">
        <v>863</v>
      </c>
      <c r="C10" s="1" t="s">
        <v>548</v>
      </c>
      <c r="D10" s="12">
        <v>397.43</v>
      </c>
      <c r="E10" s="12"/>
      <c r="F10" s="65" t="s">
        <v>1393</v>
      </c>
      <c r="G10" s="35"/>
      <c r="H10" s="1"/>
      <c r="I10" s="8"/>
      <c r="J10" s="18"/>
      <c r="K10" s="1"/>
      <c r="L10" s="1"/>
      <c r="M10" s="1"/>
      <c r="N10" s="1"/>
    </row>
    <row r="11" spans="1:14">
      <c r="A11" s="51">
        <v>45191</v>
      </c>
      <c r="B11" s="7" t="s">
        <v>367</v>
      </c>
      <c r="C11" s="1" t="s">
        <v>35</v>
      </c>
      <c r="D11" s="12">
        <v>161</v>
      </c>
      <c r="E11" s="9"/>
      <c r="F11" s="65" t="s">
        <v>1394</v>
      </c>
      <c r="G11" s="7"/>
      <c r="H11" s="7"/>
      <c r="I11" s="7"/>
      <c r="J11" s="17"/>
      <c r="K11" s="7"/>
      <c r="L11" s="7"/>
      <c r="M11" s="7"/>
      <c r="N11" s="7"/>
    </row>
    <row r="12" spans="1:14">
      <c r="A12" s="51" t="s">
        <v>1386</v>
      </c>
      <c r="B12" s="77" t="s">
        <v>1386</v>
      </c>
      <c r="C12" s="94" t="s">
        <v>1277</v>
      </c>
      <c r="D12" s="12">
        <v>0</v>
      </c>
      <c r="E12" s="9"/>
      <c r="F12" s="65"/>
      <c r="G12" s="7"/>
      <c r="H12" s="7"/>
      <c r="I12" s="7"/>
      <c r="J12" s="17"/>
      <c r="K12" s="7"/>
      <c r="L12" s="7"/>
      <c r="M12" s="7"/>
      <c r="N12" s="7"/>
    </row>
    <row r="13" spans="1:14">
      <c r="A13" s="52">
        <v>45191</v>
      </c>
      <c r="B13" s="7" t="s">
        <v>1257</v>
      </c>
      <c r="C13" s="1" t="s">
        <v>1254</v>
      </c>
      <c r="D13" s="12">
        <v>79.989999999999995</v>
      </c>
      <c r="E13" s="1"/>
      <c r="F13" s="65"/>
      <c r="G13" s="1"/>
      <c r="H13" s="1"/>
      <c r="I13" s="1"/>
      <c r="J13" s="18"/>
      <c r="K13" s="1"/>
      <c r="L13" s="1"/>
      <c r="M13" s="1"/>
      <c r="N13" s="1"/>
    </row>
    <row r="14" spans="1:14">
      <c r="A14" s="52"/>
      <c r="B14" s="1"/>
      <c r="C14" s="1"/>
      <c r="D14" s="12">
        <v>0</v>
      </c>
      <c r="E14" s="1"/>
      <c r="F14" s="65"/>
      <c r="G14" s="1"/>
      <c r="H14" s="68"/>
      <c r="I14" s="1"/>
      <c r="J14" s="18"/>
      <c r="K14" s="1"/>
      <c r="L14" s="1"/>
      <c r="M14" s="1"/>
      <c r="N14" s="1"/>
    </row>
    <row r="15" spans="1:14">
      <c r="A15" s="52"/>
      <c r="B15" s="1"/>
      <c r="C15" s="22" t="s">
        <v>37</v>
      </c>
      <c r="D15" s="1"/>
      <c r="E15" s="1"/>
      <c r="F15" s="65"/>
      <c r="G15" s="1"/>
      <c r="H15" s="1"/>
      <c r="I15" s="1"/>
      <c r="J15" s="18"/>
      <c r="K15" s="1"/>
      <c r="L15" s="1"/>
      <c r="M15" s="1"/>
      <c r="N15" s="1"/>
    </row>
    <row r="16" spans="1:14" ht="16.5">
      <c r="A16" s="52">
        <v>45177</v>
      </c>
      <c r="B16" s="1" t="s">
        <v>1255</v>
      </c>
      <c r="C16" s="88" t="s">
        <v>41</v>
      </c>
      <c r="D16" s="12">
        <f>D5</f>
        <v>20</v>
      </c>
      <c r="E16" s="1"/>
      <c r="F16" s="90">
        <v>6954710829</v>
      </c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83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74"/>
      <c r="H19" s="1"/>
      <c r="I19" s="1"/>
      <c r="J19" s="18"/>
      <c r="K19" s="1"/>
      <c r="L19" s="1"/>
      <c r="M19" s="1"/>
      <c r="N19" s="1"/>
    </row>
    <row r="20" spans="1:14" ht="15.75">
      <c r="A20" s="53">
        <v>45177</v>
      </c>
      <c r="B20" s="1" t="s">
        <v>27</v>
      </c>
      <c r="C20" s="1" t="s">
        <v>43</v>
      </c>
      <c r="D20" s="12">
        <v>0</v>
      </c>
      <c r="E20" s="1"/>
      <c r="F20" s="89" t="s">
        <v>1391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45183</v>
      </c>
      <c r="B21" s="1" t="s">
        <v>51</v>
      </c>
      <c r="C21" s="1" t="s">
        <v>1312</v>
      </c>
      <c r="D21" s="12">
        <v>0</v>
      </c>
      <c r="E21" s="1"/>
      <c r="F21" s="65" t="s">
        <v>1392</v>
      </c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65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65"/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1313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2710.9799999999996</v>
      </c>
      <c r="E27" s="1"/>
      <c r="F27" s="65"/>
      <c r="G27" s="1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6449.26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3738.2800000000007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934.57000000000016</v>
      </c>
      <c r="D34" s="12" t="s">
        <v>1363</v>
      </c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F36" s="66"/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868F-D610-4B52-B902-A07EA552C3C3}">
  <dimension ref="A1:N47"/>
  <sheetViews>
    <sheetView workbookViewId="0">
      <selection activeCell="A14" sqref="A1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1395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45200</v>
      </c>
      <c r="B3" s="7" t="s">
        <v>6</v>
      </c>
      <c r="C3" s="1" t="s">
        <v>359</v>
      </c>
      <c r="D3" s="8">
        <v>1178.45</v>
      </c>
      <c r="E3" s="9"/>
      <c r="F3" s="73" t="s">
        <v>1396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45200</v>
      </c>
      <c r="B4" s="7" t="s">
        <v>10</v>
      </c>
      <c r="C4" s="1" t="s">
        <v>13</v>
      </c>
      <c r="D4" s="12">
        <v>243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96"/>
      <c r="J5" s="17"/>
      <c r="K5" s="7"/>
      <c r="L5" s="7"/>
      <c r="M5" s="7"/>
      <c r="N5" s="7"/>
    </row>
    <row r="6" spans="1:14">
      <c r="A6" s="51">
        <v>45205</v>
      </c>
      <c r="B6" s="7" t="s">
        <v>155</v>
      </c>
      <c r="C6" s="1" t="s">
        <v>16</v>
      </c>
      <c r="D6" s="12">
        <v>78</v>
      </c>
      <c r="E6" s="12"/>
      <c r="F6" s="65" t="s">
        <v>1397</v>
      </c>
      <c r="H6" s="7"/>
      <c r="I6" s="96"/>
      <c r="J6" s="17"/>
      <c r="K6" s="7"/>
      <c r="L6" s="7"/>
      <c r="M6" s="7"/>
      <c r="N6" s="7"/>
    </row>
    <row r="7" spans="1:14">
      <c r="A7" s="85">
        <v>45205</v>
      </c>
      <c r="B7" s="7" t="s">
        <v>21</v>
      </c>
      <c r="C7" s="1" t="s">
        <v>23</v>
      </c>
      <c r="D7" s="12">
        <v>395.76</v>
      </c>
      <c r="E7" s="9"/>
      <c r="F7">
        <v>111721655</v>
      </c>
      <c r="H7" s="11"/>
      <c r="I7" s="11"/>
      <c r="J7" s="19"/>
      <c r="K7" s="11"/>
      <c r="L7" s="11"/>
      <c r="M7" s="11"/>
      <c r="N7" s="11"/>
    </row>
    <row r="8" spans="1:14">
      <c r="A8" s="85">
        <v>45205</v>
      </c>
      <c r="B8" s="7" t="s">
        <v>21</v>
      </c>
      <c r="C8" s="1" t="s">
        <v>25</v>
      </c>
      <c r="D8" s="12">
        <v>30.25</v>
      </c>
      <c r="E8" s="16"/>
      <c r="F8" s="93" t="s">
        <v>1399</v>
      </c>
      <c r="G8" s="11"/>
      <c r="H8" s="11"/>
      <c r="I8" s="11"/>
      <c r="J8" s="19"/>
      <c r="K8" s="11"/>
      <c r="L8" s="11"/>
      <c r="M8" s="11"/>
      <c r="N8" s="11"/>
    </row>
    <row r="9" spans="1:14">
      <c r="A9" s="51">
        <v>45212</v>
      </c>
      <c r="B9" s="7" t="s">
        <v>31</v>
      </c>
      <c r="C9" s="1" t="s">
        <v>1305</v>
      </c>
      <c r="D9" s="12">
        <v>64.099999999999994</v>
      </c>
      <c r="E9" s="9"/>
      <c r="F9" s="83" t="s">
        <v>1400</v>
      </c>
      <c r="G9" s="20"/>
      <c r="H9" s="11"/>
      <c r="I9" s="11"/>
      <c r="J9" s="19"/>
      <c r="K9" s="11"/>
      <c r="L9" s="11"/>
      <c r="M9" s="11"/>
      <c r="N9" s="11"/>
    </row>
    <row r="10" spans="1:14">
      <c r="A10" s="51">
        <v>45219</v>
      </c>
      <c r="B10" s="7" t="s">
        <v>863</v>
      </c>
      <c r="C10" s="1" t="s">
        <v>548</v>
      </c>
      <c r="D10" s="12">
        <v>397.43</v>
      </c>
      <c r="E10" s="12"/>
      <c r="F10" s="65" t="s">
        <v>1402</v>
      </c>
      <c r="G10" s="35"/>
      <c r="H10" s="1"/>
      <c r="I10" s="8"/>
      <c r="J10" s="18"/>
      <c r="K10" s="1"/>
      <c r="L10" s="1"/>
      <c r="M10" s="1"/>
      <c r="N10" s="1"/>
    </row>
    <row r="11" spans="1:14">
      <c r="A11" s="51">
        <v>45219</v>
      </c>
      <c r="B11" s="7" t="s">
        <v>367</v>
      </c>
      <c r="C11" s="1" t="s">
        <v>35</v>
      </c>
      <c r="D11" s="12">
        <v>161</v>
      </c>
      <c r="E11" s="9"/>
      <c r="F11" s="65" t="s">
        <v>1403</v>
      </c>
      <c r="G11" s="7"/>
      <c r="H11" s="7"/>
      <c r="I11" s="7"/>
      <c r="J11" s="17"/>
      <c r="K11" s="7"/>
      <c r="L11" s="7"/>
      <c r="M11" s="7"/>
      <c r="N11" s="7"/>
    </row>
    <row r="12" spans="1:14">
      <c r="A12" s="51" t="s">
        <v>1386</v>
      </c>
      <c r="B12" s="77" t="s">
        <v>1386</v>
      </c>
      <c r="C12" s="94" t="s">
        <v>1277</v>
      </c>
      <c r="D12" s="12">
        <v>0</v>
      </c>
      <c r="E12" s="9"/>
      <c r="F12" s="65"/>
      <c r="G12" s="7"/>
      <c r="H12" s="7"/>
      <c r="I12" s="7"/>
      <c r="J12" s="17"/>
      <c r="K12" s="7"/>
      <c r="L12" s="7"/>
      <c r="M12" s="7"/>
      <c r="N12" s="7"/>
    </row>
    <row r="13" spans="1:14">
      <c r="A13" s="52">
        <v>45219</v>
      </c>
      <c r="B13" s="7" t="s">
        <v>1257</v>
      </c>
      <c r="C13" s="1" t="s">
        <v>1254</v>
      </c>
      <c r="D13" s="12">
        <v>79.989999999999995</v>
      </c>
      <c r="E13" s="1"/>
      <c r="F13" s="65"/>
      <c r="G13" s="1"/>
      <c r="H13" s="1"/>
      <c r="I13" s="1"/>
      <c r="J13" s="18"/>
      <c r="K13" s="1"/>
      <c r="L13" s="1"/>
      <c r="M13" s="1"/>
      <c r="N13" s="1"/>
    </row>
    <row r="14" spans="1:14">
      <c r="A14" s="52"/>
      <c r="B14" s="1"/>
      <c r="C14" s="1"/>
      <c r="D14" s="12">
        <v>0</v>
      </c>
      <c r="E14" s="1"/>
      <c r="F14" s="65"/>
      <c r="G14" s="1"/>
      <c r="H14" s="68"/>
      <c r="I14" s="1"/>
      <c r="J14" s="18"/>
      <c r="K14" s="1"/>
      <c r="L14" s="1"/>
      <c r="M14" s="1"/>
      <c r="N14" s="1"/>
    </row>
    <row r="15" spans="1:14">
      <c r="A15" s="52"/>
      <c r="B15" s="1"/>
      <c r="C15" s="22" t="s">
        <v>37</v>
      </c>
      <c r="D15" s="1"/>
      <c r="E15" s="1"/>
      <c r="F15" s="65"/>
      <c r="G15" s="1"/>
      <c r="H15" s="1"/>
      <c r="I15" s="1"/>
      <c r="J15" s="18"/>
      <c r="K15" s="1"/>
      <c r="L15" s="1"/>
      <c r="M15" s="1"/>
      <c r="N15" s="1"/>
    </row>
    <row r="16" spans="1:14" ht="16.5">
      <c r="A16" s="52">
        <v>45205</v>
      </c>
      <c r="B16" s="1" t="s">
        <v>1255</v>
      </c>
      <c r="C16" s="88" t="s">
        <v>41</v>
      </c>
      <c r="D16" s="12">
        <f>D5</f>
        <v>20</v>
      </c>
      <c r="E16" s="1"/>
      <c r="F16" s="90"/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65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83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74"/>
      <c r="H19" s="1"/>
      <c r="I19" s="1"/>
      <c r="J19" s="18"/>
      <c r="K19" s="1"/>
      <c r="L19" s="1"/>
      <c r="M19" s="1"/>
      <c r="N19" s="1"/>
    </row>
    <row r="20" spans="1:14" ht="15.75">
      <c r="A20" s="53">
        <v>45205</v>
      </c>
      <c r="B20" s="1" t="s">
        <v>27</v>
      </c>
      <c r="C20" s="1" t="s">
        <v>43</v>
      </c>
      <c r="D20" s="12">
        <v>0</v>
      </c>
      <c r="E20" s="1"/>
      <c r="F20" s="89" t="s">
        <v>1398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 t="s">
        <v>9</v>
      </c>
      <c r="B21" s="1" t="s">
        <v>51</v>
      </c>
      <c r="C21" s="1" t="s">
        <v>1312</v>
      </c>
      <c r="D21" s="12">
        <v>0</v>
      </c>
      <c r="E21" s="1"/>
      <c r="F21" s="65"/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65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65"/>
      <c r="G24" s="1"/>
      <c r="H24" s="1"/>
      <c r="I24" s="1"/>
      <c r="J24" s="18"/>
      <c r="K24" s="1"/>
      <c r="L24" s="1"/>
      <c r="M24" s="1"/>
      <c r="N24" s="1"/>
    </row>
    <row r="25" spans="1:14">
      <c r="A25" s="53" t="s">
        <v>9</v>
      </c>
      <c r="B25" s="1" t="s">
        <v>34</v>
      </c>
      <c r="C25" s="1" t="s">
        <v>1313</v>
      </c>
      <c r="D25" s="12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65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2667.9799999999996</v>
      </c>
      <c r="E27" s="1"/>
      <c r="F27" s="65"/>
      <c r="G27" s="1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65"/>
      <c r="G28" s="1"/>
      <c r="H28" s="1"/>
      <c r="I28" s="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65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6449.26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3781.2800000000007</v>
      </c>
      <c r="E31" s="32"/>
      <c r="F31" s="65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61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945.32000000000016</v>
      </c>
      <c r="D34" s="12" t="s">
        <v>1363</v>
      </c>
      <c r="E34" s="12"/>
      <c r="F34" s="61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F36" s="66"/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934F-51C7-42BB-B794-1256410D6096}">
  <dimension ref="A1:N48"/>
  <sheetViews>
    <sheetView workbookViewId="0">
      <selection activeCell="A14" sqref="A1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1395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 t="s">
        <v>1405</v>
      </c>
      <c r="B3" s="7" t="s">
        <v>6</v>
      </c>
      <c r="C3" s="1" t="s">
        <v>359</v>
      </c>
      <c r="D3" s="8">
        <v>1209.9000000000001</v>
      </c>
      <c r="E3" s="9"/>
      <c r="F3" s="73" t="s">
        <v>1404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/>
      <c r="B4" s="7" t="s">
        <v>6</v>
      </c>
      <c r="C4" s="1" t="s">
        <v>1401</v>
      </c>
      <c r="D4" s="8">
        <v>176.21</v>
      </c>
      <c r="E4" s="9"/>
      <c r="F4" s="73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45233</v>
      </c>
      <c r="B5" s="7" t="s">
        <v>10</v>
      </c>
      <c r="C5" s="1" t="s">
        <v>13</v>
      </c>
      <c r="D5" s="12">
        <v>243.88</v>
      </c>
      <c r="E5" s="9"/>
      <c r="F5" s="64" t="s">
        <v>1239</v>
      </c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747</v>
      </c>
      <c r="D6" s="12">
        <v>20</v>
      </c>
      <c r="E6" s="9"/>
      <c r="F6" s="63"/>
      <c r="G6" s="16"/>
      <c r="H6" s="7"/>
      <c r="I6" s="96"/>
      <c r="J6" s="17"/>
      <c r="K6" s="7"/>
      <c r="L6" s="7"/>
      <c r="M6" s="7"/>
      <c r="N6" s="7"/>
    </row>
    <row r="7" spans="1:14">
      <c r="A7" s="51">
        <v>45233</v>
      </c>
      <c r="B7" s="7" t="s">
        <v>155</v>
      </c>
      <c r="C7" s="1" t="s">
        <v>16</v>
      </c>
      <c r="D7" s="12">
        <v>121</v>
      </c>
      <c r="E7" s="12"/>
      <c r="F7" s="65" t="s">
        <v>1406</v>
      </c>
      <c r="H7" s="7"/>
      <c r="I7" s="96"/>
      <c r="J7" s="17"/>
      <c r="K7" s="7"/>
      <c r="L7" s="7"/>
      <c r="M7" s="7"/>
      <c r="N7" s="7"/>
    </row>
    <row r="8" spans="1:14">
      <c r="A8" s="85">
        <v>45247</v>
      </c>
      <c r="B8" s="7" t="s">
        <v>21</v>
      </c>
      <c r="C8" s="1" t="s">
        <v>23</v>
      </c>
      <c r="D8" s="12">
        <v>395.76</v>
      </c>
      <c r="E8" s="9"/>
      <c r="F8">
        <v>113419053</v>
      </c>
      <c r="H8" s="11"/>
      <c r="I8" s="11"/>
      <c r="J8" s="19"/>
      <c r="K8" s="11"/>
      <c r="L8" s="11"/>
      <c r="M8" s="11"/>
      <c r="N8" s="11"/>
    </row>
    <row r="9" spans="1:14">
      <c r="A9" s="85" t="s">
        <v>9</v>
      </c>
      <c r="B9" s="7" t="s">
        <v>21</v>
      </c>
      <c r="C9" s="1" t="s">
        <v>25</v>
      </c>
      <c r="D9" s="12">
        <v>30.25</v>
      </c>
      <c r="E9" s="16"/>
      <c r="F9" s="9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45247</v>
      </c>
      <c r="B10" s="7" t="s">
        <v>31</v>
      </c>
      <c r="C10" s="1" t="s">
        <v>1305</v>
      </c>
      <c r="D10" s="12">
        <v>64.099999999999994</v>
      </c>
      <c r="E10" s="9"/>
      <c r="F10" s="83" t="s">
        <v>1208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45247</v>
      </c>
      <c r="B11" s="7" t="s">
        <v>863</v>
      </c>
      <c r="C11" s="1" t="s">
        <v>548</v>
      </c>
      <c r="D11" s="12">
        <v>397.43</v>
      </c>
      <c r="E11" s="12"/>
      <c r="F11" s="65" t="s">
        <v>1408</v>
      </c>
      <c r="G11" s="35"/>
      <c r="H11" s="1"/>
      <c r="I11" s="8"/>
      <c r="J11" s="18"/>
      <c r="K11" s="1"/>
      <c r="L11" s="1"/>
      <c r="M11" s="1"/>
      <c r="N11" s="1"/>
    </row>
    <row r="12" spans="1:14">
      <c r="A12" s="51">
        <v>45255</v>
      </c>
      <c r="B12" s="7" t="s">
        <v>367</v>
      </c>
      <c r="C12" s="1" t="s">
        <v>35</v>
      </c>
      <c r="D12" s="12">
        <v>161</v>
      </c>
      <c r="E12" s="9"/>
      <c r="F12" s="65" t="s">
        <v>1409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1386</v>
      </c>
      <c r="B13" s="77" t="s">
        <v>1386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45255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45233</v>
      </c>
      <c r="B17" s="1" t="s">
        <v>1255</v>
      </c>
      <c r="C17" s="88" t="s">
        <v>41</v>
      </c>
      <c r="D17" s="12">
        <f>D6</f>
        <v>20</v>
      </c>
      <c r="E17" s="1"/>
      <c r="F17" s="90">
        <v>7076844467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45247</v>
      </c>
      <c r="B21" s="1" t="s">
        <v>27</v>
      </c>
      <c r="C21" s="1" t="s">
        <v>43</v>
      </c>
      <c r="D21" s="12">
        <v>0</v>
      </c>
      <c r="E21" s="1"/>
      <c r="F21" s="89" t="s">
        <v>1407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2919.5199999999995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6449.26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3529.7400000000007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882.43500000000017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5083-558C-431B-80E2-8AEA2C5452F4}">
  <dimension ref="A1:N48"/>
  <sheetViews>
    <sheetView workbookViewId="0">
      <selection activeCell="A14" sqref="A1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1410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45261</v>
      </c>
      <c r="B3" s="7" t="s">
        <v>6</v>
      </c>
      <c r="C3" s="1" t="s">
        <v>359</v>
      </c>
      <c r="D3" s="8">
        <v>1209.9000000000001</v>
      </c>
      <c r="E3" s="9"/>
      <c r="F3" s="73" t="s">
        <v>1411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>
        <v>45259</v>
      </c>
      <c r="B4" s="7" t="s">
        <v>6</v>
      </c>
      <c r="C4" s="1" t="s">
        <v>1401</v>
      </c>
      <c r="D4" s="8">
        <v>301</v>
      </c>
      <c r="E4" s="9"/>
      <c r="F4" s="64" t="s">
        <v>1239</v>
      </c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45261</v>
      </c>
      <c r="B5" s="7" t="s">
        <v>10</v>
      </c>
      <c r="C5" s="1" t="s">
        <v>13</v>
      </c>
      <c r="D5" s="12">
        <v>243.88</v>
      </c>
      <c r="E5" s="9"/>
      <c r="F5" s="64" t="s">
        <v>1239</v>
      </c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747</v>
      </c>
      <c r="D6" s="12">
        <v>20</v>
      </c>
      <c r="E6" s="9"/>
      <c r="F6" s="63"/>
      <c r="G6" s="16"/>
      <c r="H6" s="7"/>
      <c r="I6" s="96"/>
      <c r="J6" s="17"/>
      <c r="K6" s="7"/>
      <c r="L6" s="7"/>
      <c r="M6" s="7"/>
      <c r="N6" s="7"/>
    </row>
    <row r="7" spans="1:14">
      <c r="A7" s="51">
        <v>45261</v>
      </c>
      <c r="B7" s="7" t="s">
        <v>155</v>
      </c>
      <c r="C7" s="1" t="s">
        <v>16</v>
      </c>
      <c r="D7" s="12">
        <v>78</v>
      </c>
      <c r="E7" s="12"/>
      <c r="F7" s="65" t="s">
        <v>1412</v>
      </c>
      <c r="H7" s="7"/>
      <c r="I7" s="96"/>
      <c r="J7" s="17"/>
      <c r="K7" s="7"/>
      <c r="L7" s="7"/>
      <c r="M7" s="7"/>
      <c r="N7" s="7"/>
    </row>
    <row r="8" spans="1:14">
      <c r="A8" s="85">
        <v>45275</v>
      </c>
      <c r="B8" s="7" t="s">
        <v>21</v>
      </c>
      <c r="C8" s="1" t="s">
        <v>23</v>
      </c>
      <c r="D8" s="12">
        <v>395.76</v>
      </c>
      <c r="E8" s="9"/>
      <c r="F8">
        <v>114549290</v>
      </c>
      <c r="H8" s="11"/>
      <c r="I8" s="11"/>
      <c r="J8" s="19"/>
      <c r="K8" s="11"/>
      <c r="L8" s="11"/>
      <c r="M8" s="11"/>
      <c r="N8" s="11"/>
    </row>
    <row r="9" spans="1:14">
      <c r="A9" s="85">
        <v>45261</v>
      </c>
      <c r="B9" s="7" t="s">
        <v>21</v>
      </c>
      <c r="C9" s="1" t="s">
        <v>25</v>
      </c>
      <c r="D9" s="12">
        <v>30.25</v>
      </c>
      <c r="E9" s="16"/>
      <c r="F9" s="93" t="s">
        <v>1413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45270</v>
      </c>
      <c r="B10" s="7" t="s">
        <v>31</v>
      </c>
      <c r="C10" s="1" t="s">
        <v>1305</v>
      </c>
      <c r="D10" s="12">
        <v>64.099999999999994</v>
      </c>
      <c r="E10" s="9"/>
      <c r="F10" s="83" t="s">
        <v>1415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45275</v>
      </c>
      <c r="B11" s="7" t="s">
        <v>863</v>
      </c>
      <c r="C11" s="1" t="s">
        <v>548</v>
      </c>
      <c r="D11" s="12">
        <v>397.43</v>
      </c>
      <c r="E11" s="12"/>
      <c r="F11" s="65" t="s">
        <v>1416</v>
      </c>
      <c r="G11" s="35"/>
      <c r="H11" s="1"/>
      <c r="I11" s="8"/>
      <c r="J11" s="18"/>
      <c r="K11" s="1"/>
      <c r="L11" s="1"/>
      <c r="M11" s="1"/>
      <c r="N11" s="1"/>
    </row>
    <row r="12" spans="1:14">
      <c r="A12" s="51">
        <v>45275</v>
      </c>
      <c r="B12" s="7" t="s">
        <v>367</v>
      </c>
      <c r="C12" s="1" t="s">
        <v>35</v>
      </c>
      <c r="D12" s="12">
        <v>161</v>
      </c>
      <c r="E12" s="9"/>
      <c r="F12" s="65" t="s">
        <v>1418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1386</v>
      </c>
      <c r="B13" s="77" t="s">
        <v>1386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45282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45269</v>
      </c>
      <c r="B17" s="1" t="s">
        <v>1255</v>
      </c>
      <c r="C17" s="88" t="s">
        <v>41</v>
      </c>
      <c r="D17" s="12">
        <f>D6</f>
        <v>20</v>
      </c>
      <c r="E17" s="1"/>
      <c r="F17" s="90" t="s">
        <v>1414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45275</v>
      </c>
      <c r="B21" s="1" t="s">
        <v>27</v>
      </c>
      <c r="C21" s="1" t="s">
        <v>43</v>
      </c>
      <c r="D21" s="12">
        <v>0</v>
      </c>
      <c r="E21" s="1"/>
      <c r="F21" s="89" t="s">
        <v>1417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3001.3099999999995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6449.26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3447.9500000000007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861.98750000000018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CF15-9491-4DB0-A09B-82A21EBFA764}">
  <dimension ref="A1:N48"/>
  <sheetViews>
    <sheetView workbookViewId="0">
      <selection activeCell="A14" sqref="A1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1419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45289</v>
      </c>
      <c r="B3" s="7" t="s">
        <v>6</v>
      </c>
      <c r="C3" s="1" t="s">
        <v>359</v>
      </c>
      <c r="D3" s="8">
        <v>1209.9000000000001</v>
      </c>
      <c r="E3" s="9"/>
      <c r="F3" s="73" t="s">
        <v>1420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1401</v>
      </c>
      <c r="D4" s="8">
        <v>0</v>
      </c>
      <c r="E4" s="9"/>
      <c r="F4" s="64" t="s">
        <v>1421</v>
      </c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45293</v>
      </c>
      <c r="B5" s="7" t="s">
        <v>10</v>
      </c>
      <c r="C5" s="1" t="s">
        <v>13</v>
      </c>
      <c r="D5" s="12">
        <v>210.52</v>
      </c>
      <c r="E5" s="9"/>
      <c r="F5" s="64"/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 t="s">
        <v>1421</v>
      </c>
      <c r="G6" s="16"/>
      <c r="H6" s="7"/>
      <c r="I6" s="96"/>
      <c r="J6" s="17"/>
      <c r="K6" s="7"/>
      <c r="L6" s="7"/>
      <c r="M6" s="7"/>
      <c r="N6" s="7"/>
    </row>
    <row r="7" spans="1:14">
      <c r="A7" s="51">
        <v>45303</v>
      </c>
      <c r="B7" s="7" t="s">
        <v>155</v>
      </c>
      <c r="C7" s="1" t="s">
        <v>16</v>
      </c>
      <c r="D7" s="12">
        <v>78</v>
      </c>
      <c r="E7" s="12"/>
      <c r="F7" s="65"/>
      <c r="H7" s="7"/>
      <c r="I7" s="96"/>
      <c r="J7" s="17"/>
      <c r="K7" s="7"/>
      <c r="L7" s="7"/>
      <c r="M7" s="7"/>
      <c r="N7" s="7"/>
    </row>
    <row r="8" spans="1:14">
      <c r="A8" s="85">
        <v>45303</v>
      </c>
      <c r="B8" s="7" t="s">
        <v>21</v>
      </c>
      <c r="C8" s="1" t="s">
        <v>23</v>
      </c>
      <c r="D8" s="12">
        <v>395.76</v>
      </c>
      <c r="E8" s="9"/>
      <c r="F8">
        <v>115698291</v>
      </c>
      <c r="H8" s="11"/>
      <c r="I8" s="11"/>
      <c r="J8" s="19"/>
      <c r="K8" s="11"/>
      <c r="L8" s="11"/>
      <c r="M8" s="11"/>
      <c r="N8" s="11"/>
    </row>
    <row r="9" spans="1:14">
      <c r="A9" s="85" t="s">
        <v>9</v>
      </c>
      <c r="B9" s="7" t="s">
        <v>21</v>
      </c>
      <c r="C9" s="1" t="s">
        <v>25</v>
      </c>
      <c r="D9" s="12">
        <v>30.25</v>
      </c>
      <c r="E9" s="16"/>
      <c r="F9" s="9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45303</v>
      </c>
      <c r="B10" s="7" t="s">
        <v>31</v>
      </c>
      <c r="C10" s="1" t="s">
        <v>1305</v>
      </c>
      <c r="D10" s="12">
        <v>64.099999999999994</v>
      </c>
      <c r="E10" s="9"/>
      <c r="F10" s="83"/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45307</v>
      </c>
      <c r="B11" s="7" t="s">
        <v>863</v>
      </c>
      <c r="C11" s="1" t="s">
        <v>548</v>
      </c>
      <c r="D11" s="12">
        <v>397.43</v>
      </c>
      <c r="E11" s="12"/>
      <c r="F11" s="65" t="s">
        <v>1424</v>
      </c>
      <c r="G11" s="35"/>
      <c r="H11" s="1"/>
      <c r="I11" s="8"/>
      <c r="J11" s="18"/>
      <c r="K11" s="1"/>
      <c r="L11" s="1"/>
      <c r="M11" s="1"/>
      <c r="N11" s="1"/>
    </row>
    <row r="12" spans="1:14">
      <c r="A12" s="51">
        <v>45310</v>
      </c>
      <c r="B12" s="7" t="s">
        <v>367</v>
      </c>
      <c r="C12" s="1" t="s">
        <v>35</v>
      </c>
      <c r="D12" s="12">
        <v>161</v>
      </c>
      <c r="E12" s="9"/>
      <c r="F12" s="65" t="s">
        <v>1425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1386</v>
      </c>
      <c r="B13" s="77" t="s">
        <v>1386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45310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45293</v>
      </c>
      <c r="B17" s="1" t="s">
        <v>1255</v>
      </c>
      <c r="C17" s="88" t="s">
        <v>41</v>
      </c>
      <c r="D17" s="12">
        <v>320</v>
      </c>
      <c r="E17" s="1"/>
      <c r="F17" s="90">
        <v>7210047341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45303</v>
      </c>
      <c r="B21" s="1" t="s">
        <v>27</v>
      </c>
      <c r="C21" s="1" t="s">
        <v>43</v>
      </c>
      <c r="D21" s="12">
        <v>0</v>
      </c>
      <c r="E21" s="1"/>
      <c r="F21" s="89" t="s">
        <v>1423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2946.95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6449.26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3502.3100000000004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875.5775000000001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0E55-5E39-49E6-B24B-A835AF4657FC}">
  <dimension ref="A1:N48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1426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45317</v>
      </c>
      <c r="B3" s="7" t="s">
        <v>6</v>
      </c>
      <c r="C3" s="1" t="s">
        <v>359</v>
      </c>
      <c r="D3" s="8">
        <v>1209.9000000000001</v>
      </c>
      <c r="E3" s="9"/>
      <c r="F3" s="73" t="s">
        <v>1429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45317</v>
      </c>
      <c r="B5" s="7" t="s">
        <v>10</v>
      </c>
      <c r="C5" s="1" t="s">
        <v>1428</v>
      </c>
      <c r="D5" s="12">
        <v>210.52</v>
      </c>
      <c r="E5" s="9"/>
      <c r="F5" s="64" t="s">
        <v>1239</v>
      </c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4">
      <c r="A7" s="51">
        <v>45331</v>
      </c>
      <c r="B7" s="7" t="s">
        <v>155</v>
      </c>
      <c r="C7" s="1" t="s">
        <v>16</v>
      </c>
      <c r="D7" s="12">
        <v>78</v>
      </c>
      <c r="E7" s="12"/>
      <c r="F7" s="65" t="s">
        <v>1432</v>
      </c>
      <c r="H7" s="7"/>
      <c r="I7" s="96"/>
      <c r="J7" s="17"/>
      <c r="K7" s="7"/>
      <c r="L7" s="7"/>
      <c r="M7" s="7"/>
      <c r="N7" s="7"/>
    </row>
    <row r="8" spans="1:14">
      <c r="A8" s="85">
        <v>45331</v>
      </c>
      <c r="B8" s="7" t="s">
        <v>21</v>
      </c>
      <c r="C8" s="1" t="s">
        <v>23</v>
      </c>
      <c r="D8" s="12">
        <v>395.76</v>
      </c>
      <c r="E8" s="9"/>
      <c r="F8">
        <v>116865859</v>
      </c>
      <c r="H8" s="11"/>
      <c r="I8" s="11"/>
      <c r="J8" s="19"/>
      <c r="K8" s="11"/>
      <c r="L8" s="11"/>
      <c r="M8" s="11"/>
      <c r="N8" s="11"/>
    </row>
    <row r="9" spans="1:14">
      <c r="A9" s="85">
        <v>45328</v>
      </c>
      <c r="B9" s="7" t="s">
        <v>21</v>
      </c>
      <c r="C9" s="1" t="s">
        <v>25</v>
      </c>
      <c r="D9" s="12">
        <v>35</v>
      </c>
      <c r="E9" s="16"/>
      <c r="F9" s="93" t="s">
        <v>1430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45331</v>
      </c>
      <c r="B10" s="7" t="s">
        <v>31</v>
      </c>
      <c r="C10" s="1" t="s">
        <v>1305</v>
      </c>
      <c r="D10" s="12">
        <v>64.099999999999994</v>
      </c>
      <c r="E10" s="9"/>
      <c r="F10" s="83" t="s">
        <v>1433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45345</v>
      </c>
      <c r="B11" s="7" t="s">
        <v>863</v>
      </c>
      <c r="C11" s="1" t="s">
        <v>548</v>
      </c>
      <c r="D11" s="12">
        <v>397.43</v>
      </c>
      <c r="E11" s="12"/>
      <c r="F11" s="65" t="s">
        <v>1436</v>
      </c>
      <c r="G11" s="35"/>
      <c r="H11" s="1"/>
      <c r="I11" s="8"/>
      <c r="J11" s="18"/>
      <c r="K11" s="1"/>
      <c r="L11" s="1"/>
      <c r="M11" s="1"/>
      <c r="N11" s="1"/>
    </row>
    <row r="12" spans="1:14">
      <c r="A12" s="51">
        <v>45345</v>
      </c>
      <c r="B12" s="7" t="s">
        <v>367</v>
      </c>
      <c r="C12" s="1" t="s">
        <v>35</v>
      </c>
      <c r="D12" s="12">
        <v>161</v>
      </c>
      <c r="E12" s="9"/>
      <c r="F12" s="65" t="s">
        <v>1437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>
        <v>45345</v>
      </c>
      <c r="B13" s="97" t="s">
        <v>1386</v>
      </c>
      <c r="C13" s="94" t="s">
        <v>1277</v>
      </c>
      <c r="D13" s="12">
        <v>0</v>
      </c>
      <c r="E13" s="9"/>
      <c r="F13" s="65" t="s">
        <v>1438</v>
      </c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45345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 t="s">
        <v>1435</v>
      </c>
      <c r="B17" s="1" t="s">
        <v>1255</v>
      </c>
      <c r="C17" s="88" t="s">
        <v>41</v>
      </c>
      <c r="D17" s="12">
        <v>320</v>
      </c>
      <c r="E17" s="1"/>
      <c r="F17" s="90" t="s">
        <v>1434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45331</v>
      </c>
      <c r="B21" s="1" t="s">
        <v>27</v>
      </c>
      <c r="C21" s="1" t="s">
        <v>43</v>
      </c>
      <c r="D21" s="12">
        <v>0</v>
      </c>
      <c r="E21" s="1"/>
      <c r="F21" s="89" t="s">
        <v>1431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2951.7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6449.26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3497.5600000000004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874.3900000000001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4321-324A-4CC6-AD22-A6D21B49413D}">
  <dimension ref="A1:N48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1439</v>
      </c>
      <c r="B1" s="86"/>
      <c r="C1" s="86" t="s">
        <v>1441</v>
      </c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45352</v>
      </c>
      <c r="B3" s="7" t="s">
        <v>6</v>
      </c>
      <c r="C3" s="1" t="s">
        <v>359</v>
      </c>
      <c r="D3" s="8">
        <v>1209.9000000000001</v>
      </c>
      <c r="E3" s="9"/>
      <c r="F3" s="99" t="s">
        <v>1442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45352</v>
      </c>
      <c r="B5" s="7" t="s">
        <v>10</v>
      </c>
      <c r="C5" s="1" t="s">
        <v>1428</v>
      </c>
      <c r="D5" s="12">
        <v>210.52</v>
      </c>
      <c r="E5" s="9"/>
      <c r="F5" s="64"/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4">
      <c r="A7" s="51">
        <v>45359</v>
      </c>
      <c r="B7" s="7" t="s">
        <v>155</v>
      </c>
      <c r="C7" s="1" t="s">
        <v>16</v>
      </c>
      <c r="D7" s="12">
        <v>78</v>
      </c>
      <c r="E7" s="12"/>
      <c r="F7" s="65"/>
      <c r="H7" s="7"/>
      <c r="I7" s="96"/>
      <c r="J7" s="17"/>
      <c r="K7" s="7"/>
      <c r="L7" s="7"/>
      <c r="M7" s="7"/>
      <c r="N7" s="7"/>
    </row>
    <row r="8" spans="1:14">
      <c r="A8" s="85">
        <v>45359</v>
      </c>
      <c r="B8" s="7" t="s">
        <v>21</v>
      </c>
      <c r="C8" s="1" t="s">
        <v>23</v>
      </c>
      <c r="D8" s="12">
        <v>395.76</v>
      </c>
      <c r="E8" s="9"/>
      <c r="F8">
        <v>118111312</v>
      </c>
      <c r="H8" s="11"/>
      <c r="I8" s="11"/>
      <c r="J8" s="19"/>
      <c r="K8" s="11"/>
      <c r="L8" s="11"/>
      <c r="M8" s="11"/>
      <c r="N8" s="11"/>
    </row>
    <row r="9" spans="1:14">
      <c r="A9" s="85" t="s">
        <v>9</v>
      </c>
      <c r="B9" s="7" t="s">
        <v>21</v>
      </c>
      <c r="C9" s="1" t="s">
        <v>25</v>
      </c>
      <c r="D9" s="12">
        <v>35</v>
      </c>
      <c r="E9" s="16"/>
      <c r="F9" s="9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45359</v>
      </c>
      <c r="B10" s="7" t="s">
        <v>31</v>
      </c>
      <c r="C10" s="1" t="s">
        <v>1305</v>
      </c>
      <c r="D10" s="12">
        <v>64.099999999999994</v>
      </c>
      <c r="E10" s="9"/>
      <c r="F10" s="83"/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45376</v>
      </c>
      <c r="B11" s="7" t="s">
        <v>863</v>
      </c>
      <c r="C11" s="1" t="s">
        <v>548</v>
      </c>
      <c r="D11" s="12">
        <v>397.43</v>
      </c>
      <c r="E11" s="12"/>
      <c r="F11" s="100" t="s">
        <v>1444</v>
      </c>
      <c r="G11" s="35"/>
      <c r="H11" s="1"/>
      <c r="I11" s="8"/>
      <c r="J11" s="18"/>
      <c r="K11" s="1"/>
      <c r="L11" s="1"/>
      <c r="M11" s="1"/>
      <c r="N11" s="1"/>
    </row>
    <row r="12" spans="1:14">
      <c r="A12" s="51">
        <v>45378</v>
      </c>
      <c r="B12" s="7" t="s">
        <v>367</v>
      </c>
      <c r="C12" s="1" t="s">
        <v>35</v>
      </c>
      <c r="D12" s="12">
        <v>161</v>
      </c>
      <c r="E12" s="9"/>
      <c r="F12" s="65" t="s">
        <v>1445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97" t="s">
        <v>1440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45378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45359</v>
      </c>
      <c r="B17" s="1" t="s">
        <v>1255</v>
      </c>
      <c r="C17" s="88" t="s">
        <v>41</v>
      </c>
      <c r="D17" s="12">
        <v>320</v>
      </c>
      <c r="E17" s="1"/>
      <c r="F17" s="90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45359</v>
      </c>
      <c r="B21" s="1" t="s">
        <v>27</v>
      </c>
      <c r="C21" s="1" t="s">
        <v>43</v>
      </c>
      <c r="D21" s="12">
        <v>0</v>
      </c>
      <c r="E21" s="1"/>
      <c r="F21" s="89" t="s">
        <v>1443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45378</v>
      </c>
      <c r="B23" s="1" t="s">
        <v>51</v>
      </c>
      <c r="C23" s="1" t="s">
        <v>932</v>
      </c>
      <c r="D23">
        <v>100</v>
      </c>
      <c r="E23" s="1"/>
      <c r="F23" s="65" t="s">
        <v>1447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3051.7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6449.26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3397.5600000000004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849.3900000000001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  <pageSetup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272C-3B77-461A-B39B-75B4AA488157}">
  <dimension ref="A1:N48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1446</v>
      </c>
      <c r="B1" s="86"/>
      <c r="C1" s="86" t="s">
        <v>1441</v>
      </c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45379</v>
      </c>
      <c r="B3" s="7" t="s">
        <v>6</v>
      </c>
      <c r="C3" s="1" t="s">
        <v>359</v>
      </c>
      <c r="D3" s="8">
        <v>1209.9000000000001</v>
      </c>
      <c r="E3" s="9"/>
      <c r="F3" s="99" t="s">
        <v>1448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45383</v>
      </c>
      <c r="B5" s="7" t="s">
        <v>10</v>
      </c>
      <c r="C5" s="1" t="s">
        <v>1428</v>
      </c>
      <c r="D5" s="12">
        <v>210.52</v>
      </c>
      <c r="E5" s="9"/>
      <c r="F5" s="64" t="s">
        <v>1239</v>
      </c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4">
      <c r="A7" s="51">
        <v>45387</v>
      </c>
      <c r="B7" s="7" t="s">
        <v>155</v>
      </c>
      <c r="C7" s="1" t="s">
        <v>16</v>
      </c>
      <c r="D7" s="12">
        <v>78</v>
      </c>
      <c r="E7" s="12"/>
      <c r="F7" s="65" t="s">
        <v>1449</v>
      </c>
      <c r="H7" s="7"/>
      <c r="I7" s="96"/>
      <c r="J7" s="17"/>
      <c r="K7" s="7"/>
      <c r="L7" s="7"/>
      <c r="M7" s="7"/>
      <c r="N7" s="7"/>
    </row>
    <row r="8" spans="1:14">
      <c r="A8" s="85">
        <v>45387</v>
      </c>
      <c r="B8" s="7" t="s">
        <v>21</v>
      </c>
      <c r="C8" s="1" t="s">
        <v>23</v>
      </c>
      <c r="D8" s="12">
        <v>395.76</v>
      </c>
      <c r="E8" s="9"/>
      <c r="F8">
        <v>119313917</v>
      </c>
      <c r="H8" s="11"/>
      <c r="I8" s="11"/>
      <c r="J8" s="19"/>
      <c r="K8" s="11"/>
      <c r="L8" s="11"/>
      <c r="M8" s="11"/>
      <c r="N8" s="11"/>
    </row>
    <row r="9" spans="1:14">
      <c r="A9" s="85">
        <v>45379</v>
      </c>
      <c r="B9" s="7" t="s">
        <v>21</v>
      </c>
      <c r="C9" s="1" t="s">
        <v>25</v>
      </c>
      <c r="D9" s="12">
        <v>35</v>
      </c>
      <c r="E9" s="16"/>
      <c r="F9" s="9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45397</v>
      </c>
      <c r="B10" s="7" t="s">
        <v>31</v>
      </c>
      <c r="C10" s="1" t="s">
        <v>1305</v>
      </c>
      <c r="D10" s="12">
        <v>64.099999999999994</v>
      </c>
      <c r="E10" s="9"/>
      <c r="F10" s="83" t="s">
        <v>1452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45401</v>
      </c>
      <c r="B11" s="7" t="s">
        <v>863</v>
      </c>
      <c r="C11" s="1" t="s">
        <v>548</v>
      </c>
      <c r="D11" s="12">
        <v>397.43</v>
      </c>
      <c r="E11" s="12"/>
      <c r="F11" s="100" t="s">
        <v>1453</v>
      </c>
      <c r="G11" s="35"/>
      <c r="H11" s="1"/>
      <c r="I11" s="8"/>
      <c r="J11" s="18"/>
      <c r="K11" s="1"/>
      <c r="L11" s="1"/>
      <c r="M11" s="1"/>
      <c r="N11" s="1"/>
    </row>
    <row r="12" spans="1:14">
      <c r="A12" s="51">
        <v>45401</v>
      </c>
      <c r="B12" s="7" t="s">
        <v>367</v>
      </c>
      <c r="C12" s="1" t="s">
        <v>35</v>
      </c>
      <c r="D12" s="12">
        <v>161</v>
      </c>
      <c r="E12" s="9"/>
      <c r="F12" s="65" t="s">
        <v>1454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97" t="s">
        <v>1440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45401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45387</v>
      </c>
      <c r="B17" s="1" t="s">
        <v>1255</v>
      </c>
      <c r="C17" s="88" t="s">
        <v>41</v>
      </c>
      <c r="D17" s="12">
        <v>320</v>
      </c>
      <c r="E17" s="1"/>
      <c r="F17" s="89" t="s">
        <v>1450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45387</v>
      </c>
      <c r="B21" s="1" t="s">
        <v>27</v>
      </c>
      <c r="C21" s="1" t="s">
        <v>43</v>
      </c>
      <c r="D21" s="12">
        <v>0</v>
      </c>
      <c r="E21" s="1"/>
      <c r="F21" s="89" t="s">
        <v>1450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45387</v>
      </c>
      <c r="B23" s="1" t="s">
        <v>51</v>
      </c>
      <c r="C23" s="1" t="s">
        <v>932</v>
      </c>
      <c r="D23">
        <v>100</v>
      </c>
      <c r="E23" s="1"/>
      <c r="F23" s="65" t="s">
        <v>1451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3051.7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6449.26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3397.5600000000004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849.3900000000001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C352-3AC9-409A-90DF-6D329F0545B1}">
  <dimension ref="A1:N48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1455</v>
      </c>
      <c r="B1" s="86"/>
      <c r="C1" s="86" t="s">
        <v>1441</v>
      </c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45415</v>
      </c>
      <c r="B3" s="7" t="s">
        <v>6</v>
      </c>
      <c r="C3" s="1" t="s">
        <v>359</v>
      </c>
      <c r="D3" s="8">
        <v>1209.9000000000001</v>
      </c>
      <c r="E3" s="9"/>
      <c r="F3" s="99"/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45413</v>
      </c>
      <c r="B5" s="7" t="s">
        <v>10</v>
      </c>
      <c r="C5" s="1" t="s">
        <v>1428</v>
      </c>
      <c r="D5" s="12">
        <v>210.52</v>
      </c>
      <c r="E5" s="9"/>
      <c r="F5" s="64" t="s">
        <v>1239</v>
      </c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4">
      <c r="A7" s="51">
        <v>45415</v>
      </c>
      <c r="B7" s="7" t="s">
        <v>155</v>
      </c>
      <c r="C7" s="1" t="s">
        <v>16</v>
      </c>
      <c r="D7" s="12">
        <v>78</v>
      </c>
      <c r="E7" s="12"/>
      <c r="F7" s="65" t="s">
        <v>1456</v>
      </c>
      <c r="H7" s="7"/>
      <c r="I7" s="96"/>
      <c r="J7" s="17"/>
      <c r="K7" s="7"/>
      <c r="L7" s="7"/>
      <c r="M7" s="7"/>
      <c r="N7" s="7"/>
    </row>
    <row r="8" spans="1:14">
      <c r="A8" s="85">
        <v>45429</v>
      </c>
      <c r="B8" s="7" t="s">
        <v>21</v>
      </c>
      <c r="C8" s="1" t="s">
        <v>23</v>
      </c>
      <c r="D8" s="12">
        <v>395.76</v>
      </c>
      <c r="E8" s="9"/>
      <c r="F8">
        <v>121132971</v>
      </c>
      <c r="H8" s="11"/>
      <c r="I8" s="11"/>
      <c r="J8" s="19"/>
      <c r="K8" s="11"/>
      <c r="L8" s="11"/>
      <c r="M8" s="11"/>
      <c r="N8" s="11"/>
    </row>
    <row r="9" spans="1:14">
      <c r="A9" s="85" t="s">
        <v>9</v>
      </c>
      <c r="B9" s="7" t="s">
        <v>21</v>
      </c>
      <c r="C9" s="1" t="s">
        <v>25</v>
      </c>
      <c r="D9" s="12">
        <v>35</v>
      </c>
      <c r="E9" s="16"/>
      <c r="F9" s="9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45429</v>
      </c>
      <c r="B10" s="7" t="s">
        <v>31</v>
      </c>
      <c r="C10" s="1" t="s">
        <v>1305</v>
      </c>
      <c r="D10" s="12">
        <v>64.099999999999994</v>
      </c>
      <c r="E10" s="9"/>
      <c r="F10" s="83" t="s">
        <v>1208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45429</v>
      </c>
      <c r="B11" s="7" t="s">
        <v>863</v>
      </c>
      <c r="C11" s="1" t="s">
        <v>548</v>
      </c>
      <c r="D11" s="12">
        <v>397.43</v>
      </c>
      <c r="E11" s="12"/>
      <c r="F11" s="100" t="s">
        <v>1459</v>
      </c>
      <c r="G11" s="35"/>
      <c r="H11" s="1"/>
      <c r="I11" s="8"/>
      <c r="J11" s="18"/>
      <c r="K11" s="1"/>
      <c r="L11" s="1"/>
      <c r="M11" s="1"/>
      <c r="N11" s="1"/>
    </row>
    <row r="12" spans="1:14">
      <c r="A12" s="51">
        <v>45429</v>
      </c>
      <c r="B12" s="7" t="s">
        <v>367</v>
      </c>
      <c r="C12" s="1" t="s">
        <v>35</v>
      </c>
      <c r="D12" s="12">
        <v>161</v>
      </c>
      <c r="E12" s="9"/>
      <c r="F12" s="65" t="s">
        <v>1460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97" t="s">
        <v>1440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45436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45415</v>
      </c>
      <c r="B17" s="1" t="s">
        <v>1255</v>
      </c>
      <c r="C17" s="88" t="s">
        <v>41</v>
      </c>
      <c r="D17" s="12">
        <v>320</v>
      </c>
      <c r="E17" s="1"/>
      <c r="F17" s="89">
        <v>7493038775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>
        <v>45429</v>
      </c>
      <c r="B19" s="1" t="s">
        <v>45</v>
      </c>
      <c r="C19" s="1" t="s">
        <v>1024</v>
      </c>
      <c r="D19" s="12">
        <v>0</v>
      </c>
      <c r="E19" s="1"/>
      <c r="F19" s="83">
        <v>531643</v>
      </c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45429</v>
      </c>
      <c r="B21" s="1" t="s">
        <v>27</v>
      </c>
      <c r="C21" s="1" t="s">
        <v>43</v>
      </c>
      <c r="D21" s="12">
        <v>0</v>
      </c>
      <c r="E21" s="1"/>
      <c r="F21" s="89" t="s">
        <v>1457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45429</v>
      </c>
      <c r="B23" s="1" t="s">
        <v>51</v>
      </c>
      <c r="C23" s="1" t="s">
        <v>932</v>
      </c>
      <c r="D23">
        <v>100</v>
      </c>
      <c r="E23" s="1"/>
      <c r="F23" s="65" t="s">
        <v>1458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3051.7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6449.26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3397.5600000000004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849.3900000000001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8BB1-C9FC-40DE-9FDB-9B959D6BB67C}">
  <dimension ref="A1:N48"/>
  <sheetViews>
    <sheetView workbookViewId="0">
      <selection activeCell="A15" sqref="A1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1461</v>
      </c>
      <c r="B1" s="86"/>
      <c r="C1" s="86" t="s">
        <v>1441</v>
      </c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45443</v>
      </c>
      <c r="B3" s="7" t="s">
        <v>6</v>
      </c>
      <c r="C3" s="1" t="s">
        <v>359</v>
      </c>
      <c r="D3" s="8">
        <v>1209.9000000000001</v>
      </c>
      <c r="E3" s="9"/>
      <c r="F3" s="99" t="s">
        <v>1462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45442</v>
      </c>
      <c r="B5" s="7" t="s">
        <v>10</v>
      </c>
      <c r="C5" s="1" t="s">
        <v>1428</v>
      </c>
      <c r="D5" s="12">
        <v>232</v>
      </c>
      <c r="E5" s="9"/>
      <c r="F5" s="64" t="s">
        <v>1239</v>
      </c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4">
      <c r="A7" s="51">
        <v>45457</v>
      </c>
      <c r="B7" s="7" t="s">
        <v>155</v>
      </c>
      <c r="C7" s="1" t="s">
        <v>16</v>
      </c>
      <c r="D7" s="12">
        <v>78</v>
      </c>
      <c r="E7" s="12"/>
      <c r="F7" s="82">
        <v>439406838</v>
      </c>
      <c r="H7" s="7"/>
      <c r="I7" s="96"/>
      <c r="J7" s="17"/>
      <c r="K7" s="7"/>
      <c r="L7" s="7"/>
      <c r="M7" s="7"/>
      <c r="N7" s="7"/>
    </row>
    <row r="8" spans="1:14">
      <c r="A8" s="85">
        <v>45457</v>
      </c>
      <c r="B8" s="7" t="s">
        <v>21</v>
      </c>
      <c r="C8" s="1" t="s">
        <v>23</v>
      </c>
      <c r="D8" s="12">
        <v>395.76</v>
      </c>
      <c r="E8" s="9"/>
      <c r="F8">
        <v>122323288</v>
      </c>
      <c r="H8" s="11"/>
      <c r="I8" s="11"/>
      <c r="J8" s="19"/>
      <c r="K8" s="11"/>
      <c r="L8" s="11"/>
      <c r="M8" s="11"/>
      <c r="N8" s="11"/>
    </row>
    <row r="9" spans="1:14">
      <c r="A9" s="85">
        <v>45448</v>
      </c>
      <c r="B9" s="7" t="s">
        <v>21</v>
      </c>
      <c r="C9" s="1" t="s">
        <v>25</v>
      </c>
      <c r="D9" s="12">
        <v>35</v>
      </c>
      <c r="E9" s="16"/>
      <c r="F9" s="93" t="s">
        <v>1463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45457</v>
      </c>
      <c r="B10" s="7" t="s">
        <v>31</v>
      </c>
      <c r="C10" s="1" t="s">
        <v>1305</v>
      </c>
      <c r="D10" s="12">
        <v>64.099999999999994</v>
      </c>
      <c r="E10" s="9"/>
      <c r="F10" s="83" t="s">
        <v>1208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45457</v>
      </c>
      <c r="B11" s="7" t="s">
        <v>863</v>
      </c>
      <c r="C11" s="1" t="s">
        <v>548</v>
      </c>
      <c r="D11" s="12">
        <v>397.43</v>
      </c>
      <c r="E11" s="12"/>
      <c r="F11" s="100" t="s">
        <v>1467</v>
      </c>
      <c r="G11" s="35"/>
      <c r="H11" s="1"/>
      <c r="I11" s="8"/>
      <c r="J11" s="18"/>
      <c r="K11" s="1"/>
      <c r="L11" s="1"/>
      <c r="M11" s="1"/>
      <c r="N11" s="1"/>
    </row>
    <row r="12" spans="1:14">
      <c r="A12" s="51">
        <v>45471</v>
      </c>
      <c r="B12" s="7" t="s">
        <v>367</v>
      </c>
      <c r="C12" s="1" t="s">
        <v>35</v>
      </c>
      <c r="D12" s="12">
        <v>161</v>
      </c>
      <c r="E12" s="9"/>
      <c r="F12" s="65" t="s">
        <v>1469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97" t="s">
        <v>1440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45471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45443</v>
      </c>
      <c r="B17" s="1" t="s">
        <v>1255</v>
      </c>
      <c r="C17" s="88" t="s">
        <v>41</v>
      </c>
      <c r="D17" s="12">
        <v>320</v>
      </c>
      <c r="E17" s="1"/>
      <c r="F17" s="89">
        <v>7555977752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45457</v>
      </c>
      <c r="B21" s="1" t="s">
        <v>27</v>
      </c>
      <c r="C21" s="1" t="s">
        <v>43</v>
      </c>
      <c r="D21" s="12">
        <v>0</v>
      </c>
      <c r="E21" s="1"/>
      <c r="F21" s="89" t="s">
        <v>1465</v>
      </c>
      <c r="G21" s="1"/>
      <c r="H21" s="1"/>
      <c r="I21" s="1"/>
      <c r="J21" s="18"/>
      <c r="K21" s="1"/>
      <c r="L21" s="1"/>
      <c r="M21" s="1"/>
      <c r="N21" s="1"/>
    </row>
    <row r="22" spans="1:14" ht="18">
      <c r="A22" s="53">
        <v>45455</v>
      </c>
      <c r="B22" s="1" t="s">
        <v>51</v>
      </c>
      <c r="C22" s="1" t="s">
        <v>1312</v>
      </c>
      <c r="D22" s="12">
        <v>0</v>
      </c>
      <c r="E22" s="1"/>
      <c r="F22" s="101" t="s">
        <v>1464</v>
      </c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45457</v>
      </c>
      <c r="B23" s="1" t="s">
        <v>51</v>
      </c>
      <c r="C23" s="1" t="s">
        <v>932</v>
      </c>
      <c r="D23">
        <v>100</v>
      </c>
      <c r="E23" s="1"/>
      <c r="F23" s="65" t="s">
        <v>1466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3073.18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7161.7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4088.52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1022.13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8CFC-C515-40A5-A144-B7C8D37A1A6D}">
  <dimension ref="A1:N48"/>
  <sheetViews>
    <sheetView workbookViewId="0">
      <selection activeCell="A15" sqref="A1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1468</v>
      </c>
      <c r="B1" s="86"/>
      <c r="C1" s="86" t="s">
        <v>1441</v>
      </c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45471</v>
      </c>
      <c r="B3" s="7" t="s">
        <v>6</v>
      </c>
      <c r="C3" s="1" t="s">
        <v>359</v>
      </c>
      <c r="D3" s="8">
        <v>1209.9000000000001</v>
      </c>
      <c r="E3" s="9"/>
      <c r="F3" s="99" t="s">
        <v>1470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45471</v>
      </c>
      <c r="B5" s="7" t="s">
        <v>10</v>
      </c>
      <c r="C5" s="1" t="s">
        <v>1428</v>
      </c>
      <c r="D5" s="12">
        <v>232</v>
      </c>
      <c r="E5" s="9"/>
      <c r="F5" s="64"/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4">
      <c r="A7" s="51">
        <v>45485</v>
      </c>
      <c r="B7" s="7" t="s">
        <v>155</v>
      </c>
      <c r="C7" s="1" t="s">
        <v>16</v>
      </c>
      <c r="D7" s="12">
        <v>78</v>
      </c>
      <c r="E7" s="12"/>
      <c r="F7" s="82" t="s">
        <v>1472</v>
      </c>
      <c r="H7" s="7"/>
      <c r="I7" s="96"/>
      <c r="J7" s="17"/>
      <c r="K7" s="7"/>
      <c r="L7" s="7"/>
      <c r="M7" s="7"/>
      <c r="N7" s="7"/>
    </row>
    <row r="8" spans="1:14">
      <c r="A8" s="85">
        <v>45485</v>
      </c>
      <c r="B8" s="7" t="s">
        <v>21</v>
      </c>
      <c r="C8" s="1" t="s">
        <v>23</v>
      </c>
      <c r="D8" s="12">
        <v>395.76</v>
      </c>
      <c r="E8" s="9"/>
      <c r="F8"/>
      <c r="H8" s="11"/>
      <c r="I8" s="11"/>
      <c r="J8" s="19"/>
      <c r="K8" s="11"/>
      <c r="L8" s="11"/>
      <c r="M8" s="11"/>
      <c r="N8" s="11"/>
    </row>
    <row r="9" spans="1:14">
      <c r="A9" s="85" t="s">
        <v>9</v>
      </c>
      <c r="B9" s="7" t="s">
        <v>21</v>
      </c>
      <c r="C9" s="1" t="s">
        <v>25</v>
      </c>
      <c r="D9" s="12">
        <v>35</v>
      </c>
      <c r="E9" s="16"/>
      <c r="F9" s="9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45485</v>
      </c>
      <c r="B10" s="7" t="s">
        <v>31</v>
      </c>
      <c r="C10" s="1" t="s">
        <v>1305</v>
      </c>
      <c r="D10" s="12">
        <v>64.099999999999994</v>
      </c>
      <c r="E10" s="9"/>
      <c r="F10" s="84" t="s">
        <v>1475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45498</v>
      </c>
      <c r="B11" s="7" t="s">
        <v>863</v>
      </c>
      <c r="C11" s="1" t="s">
        <v>548</v>
      </c>
      <c r="D11" s="12">
        <v>397.43</v>
      </c>
      <c r="E11" s="12"/>
      <c r="F11" s="100" t="s">
        <v>1476</v>
      </c>
      <c r="G11" s="35"/>
      <c r="H11" s="1"/>
      <c r="I11" s="8"/>
      <c r="J11" s="18"/>
      <c r="K11" s="1"/>
      <c r="L11" s="1"/>
      <c r="M11" s="1"/>
      <c r="N11" s="1"/>
    </row>
    <row r="12" spans="1:14">
      <c r="A12" s="51">
        <v>45499</v>
      </c>
      <c r="B12" s="7" t="s">
        <v>367</v>
      </c>
      <c r="C12" s="1" t="s">
        <v>35</v>
      </c>
      <c r="D12" s="12">
        <v>161</v>
      </c>
      <c r="E12" s="9"/>
      <c r="F12" s="65" t="s">
        <v>1477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97" t="s">
        <v>1440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45499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45471</v>
      </c>
      <c r="B17" s="1" t="s">
        <v>1255</v>
      </c>
      <c r="C17" s="88" t="s">
        <v>41</v>
      </c>
      <c r="D17" s="12">
        <v>320</v>
      </c>
      <c r="E17" s="1"/>
      <c r="F17" s="89">
        <v>7623566453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45485</v>
      </c>
      <c r="B21" s="1" t="s">
        <v>27</v>
      </c>
      <c r="C21" s="1" t="s">
        <v>43</v>
      </c>
      <c r="D21" s="12">
        <v>0</v>
      </c>
      <c r="E21" s="1"/>
      <c r="F21" s="89" t="s">
        <v>1473</v>
      </c>
      <c r="G21" s="1"/>
      <c r="H21" s="1"/>
      <c r="I21" s="1"/>
      <c r="J21" s="18"/>
      <c r="K21" s="1"/>
      <c r="L21" s="1"/>
      <c r="M21" s="1"/>
      <c r="N21" s="1"/>
    </row>
    <row r="22" spans="1:14" ht="18">
      <c r="A22" s="53">
        <v>45482</v>
      </c>
      <c r="B22" s="1" t="s">
        <v>51</v>
      </c>
      <c r="C22" s="1" t="s">
        <v>1312</v>
      </c>
      <c r="D22" s="12">
        <v>0</v>
      </c>
      <c r="E22" s="1"/>
      <c r="F22" s="101" t="s">
        <v>1471</v>
      </c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45485</v>
      </c>
      <c r="B23" s="1" t="s">
        <v>51</v>
      </c>
      <c r="C23" s="1" t="s">
        <v>932</v>
      </c>
      <c r="D23">
        <v>100</v>
      </c>
      <c r="E23" s="1"/>
      <c r="F23" s="65" t="s">
        <v>1474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3073.18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7161.7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4088.52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1022.13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74F3-D1D2-445B-9704-117E0F2EFD71}">
  <dimension ref="A1:N48"/>
  <sheetViews>
    <sheetView workbookViewId="0">
      <selection activeCell="A15" sqref="A1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1478</v>
      </c>
      <c r="B1" s="86"/>
      <c r="C1" s="86" t="s">
        <v>1441</v>
      </c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45499</v>
      </c>
      <c r="B3" s="7" t="s">
        <v>6</v>
      </c>
      <c r="C3" s="1" t="s">
        <v>359</v>
      </c>
      <c r="D3" s="8">
        <v>1209.9000000000001</v>
      </c>
      <c r="E3" s="9"/>
      <c r="F3" s="99" t="s">
        <v>1479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45499</v>
      </c>
      <c r="B5" s="7" t="s">
        <v>10</v>
      </c>
      <c r="C5" s="1" t="s">
        <v>1428</v>
      </c>
      <c r="D5" s="12">
        <v>232</v>
      </c>
      <c r="E5" s="9"/>
      <c r="F5" s="64"/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4">
      <c r="A7" s="51">
        <v>45513</v>
      </c>
      <c r="B7" s="7" t="s">
        <v>155</v>
      </c>
      <c r="C7" s="1" t="s">
        <v>16</v>
      </c>
      <c r="D7" s="12">
        <v>78</v>
      </c>
      <c r="E7" s="12"/>
      <c r="F7" s="82" t="s">
        <v>1481</v>
      </c>
      <c r="H7" s="7"/>
      <c r="I7" s="96"/>
      <c r="J7" s="17"/>
      <c r="K7" s="7"/>
      <c r="L7" s="7"/>
      <c r="M7" s="7"/>
      <c r="N7" s="7"/>
    </row>
    <row r="8" spans="1:14">
      <c r="A8" s="85">
        <v>45513</v>
      </c>
      <c r="B8" s="7" t="s">
        <v>21</v>
      </c>
      <c r="C8" s="1" t="s">
        <v>23</v>
      </c>
      <c r="D8" s="12">
        <v>395.76</v>
      </c>
      <c r="E8" s="9"/>
      <c r="F8"/>
      <c r="H8" s="11"/>
      <c r="I8" s="11"/>
      <c r="J8" s="19"/>
      <c r="K8" s="11"/>
      <c r="L8" s="11"/>
      <c r="M8" s="11"/>
      <c r="N8" s="11"/>
    </row>
    <row r="9" spans="1:14">
      <c r="A9" s="85">
        <v>45513</v>
      </c>
      <c r="B9" s="7" t="s">
        <v>21</v>
      </c>
      <c r="C9" s="1" t="s">
        <v>25</v>
      </c>
      <c r="D9" s="12">
        <v>35</v>
      </c>
      <c r="E9" s="16"/>
      <c r="F9" s="93" t="s">
        <v>1482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45513</v>
      </c>
      <c r="B10" s="7" t="s">
        <v>31</v>
      </c>
      <c r="C10" s="1" t="s">
        <v>1305</v>
      </c>
      <c r="D10" s="12">
        <v>64.099999999999994</v>
      </c>
      <c r="E10" s="9"/>
      <c r="F10" s="84"/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45527</v>
      </c>
      <c r="B11" s="7" t="s">
        <v>863</v>
      </c>
      <c r="C11" s="1" t="s">
        <v>548</v>
      </c>
      <c r="D11" s="12">
        <v>397.43</v>
      </c>
      <c r="E11" s="12"/>
      <c r="F11" s="100" t="s">
        <v>1485</v>
      </c>
      <c r="G11" s="35"/>
      <c r="H11" s="1"/>
      <c r="I11" s="8"/>
      <c r="J11" s="18"/>
      <c r="K11" s="1"/>
      <c r="L11" s="1"/>
      <c r="M11" s="1"/>
      <c r="N11" s="1"/>
    </row>
    <row r="12" spans="1:14">
      <c r="A12" s="51">
        <v>45527</v>
      </c>
      <c r="B12" s="7" t="s">
        <v>367</v>
      </c>
      <c r="C12" s="1" t="s">
        <v>35</v>
      </c>
      <c r="D12" s="12">
        <v>161</v>
      </c>
      <c r="E12" s="9"/>
      <c r="F12" s="65" t="s">
        <v>1486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>
        <v>45527</v>
      </c>
      <c r="B13" s="97" t="s">
        <v>1440</v>
      </c>
      <c r="C13" s="94" t="s">
        <v>1277</v>
      </c>
      <c r="D13" s="12">
        <v>0</v>
      </c>
      <c r="E13" s="9"/>
      <c r="F13" s="65" t="s">
        <v>1488</v>
      </c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45527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45513</v>
      </c>
      <c r="B17" s="1" t="s">
        <v>1255</v>
      </c>
      <c r="C17" s="88" t="s">
        <v>41</v>
      </c>
      <c r="D17" s="12">
        <v>320</v>
      </c>
      <c r="E17" s="1"/>
      <c r="F17" s="89">
        <v>7728161279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45513</v>
      </c>
      <c r="B21" s="1" t="s">
        <v>27</v>
      </c>
      <c r="C21" s="1" t="s">
        <v>43</v>
      </c>
      <c r="D21" s="12">
        <v>253</v>
      </c>
      <c r="E21" s="1"/>
      <c r="F21" s="89" t="s">
        <v>1483</v>
      </c>
      <c r="G21" s="1"/>
      <c r="H21" s="1"/>
      <c r="I21" s="1"/>
      <c r="J21" s="18"/>
      <c r="K21" s="1"/>
      <c r="L21" s="1"/>
      <c r="M21" s="1"/>
      <c r="N21" s="1"/>
    </row>
    <row r="22" spans="1:14" ht="18">
      <c r="A22" s="53">
        <v>45502</v>
      </c>
      <c r="B22" s="1" t="s">
        <v>51</v>
      </c>
      <c r="C22" s="1" t="s">
        <v>1312</v>
      </c>
      <c r="D22" s="12">
        <v>0</v>
      </c>
      <c r="E22" s="1"/>
      <c r="F22" s="101" t="s">
        <v>1480</v>
      </c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45513</v>
      </c>
      <c r="B23" s="1" t="s">
        <v>51</v>
      </c>
      <c r="C23" s="1" t="s">
        <v>932</v>
      </c>
      <c r="D23">
        <v>100</v>
      </c>
      <c r="E23" s="1"/>
      <c r="F23" s="65" t="s">
        <v>1484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3326.18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7161.7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3835.52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958.88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9634-4355-42FB-AD42-CBDB59BCD512}">
  <dimension ref="A1:N48"/>
  <sheetViews>
    <sheetView workbookViewId="0">
      <selection activeCell="A15" sqref="A1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1487</v>
      </c>
      <c r="B1" s="86"/>
      <c r="C1" s="86" t="s">
        <v>1441</v>
      </c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45536</v>
      </c>
      <c r="B3" s="7" t="s">
        <v>6</v>
      </c>
      <c r="C3" s="1" t="s">
        <v>359</v>
      </c>
      <c r="D3" s="8">
        <v>1209.9000000000001</v>
      </c>
      <c r="E3" s="9"/>
      <c r="F3" s="99" t="s">
        <v>1489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45536</v>
      </c>
      <c r="B5" s="7" t="s">
        <v>10</v>
      </c>
      <c r="C5" s="1" t="s">
        <v>1428</v>
      </c>
      <c r="D5" s="12">
        <v>232</v>
      </c>
      <c r="E5" s="9"/>
      <c r="F5" s="64"/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4">
      <c r="A7" s="51">
        <v>45541</v>
      </c>
      <c r="B7" s="7" t="s">
        <v>155</v>
      </c>
      <c r="C7" s="1" t="s">
        <v>16</v>
      </c>
      <c r="D7" s="12">
        <v>78</v>
      </c>
      <c r="E7" s="12"/>
      <c r="F7" s="82" t="s">
        <v>1492</v>
      </c>
      <c r="H7" s="7"/>
      <c r="I7" s="96"/>
      <c r="J7" s="17"/>
      <c r="K7" s="7"/>
      <c r="L7" s="7"/>
      <c r="M7" s="7"/>
      <c r="N7" s="7"/>
    </row>
    <row r="8" spans="1:14">
      <c r="A8" s="85">
        <v>45541</v>
      </c>
      <c r="B8" s="7" t="s">
        <v>21</v>
      </c>
      <c r="C8" s="1" t="s">
        <v>23</v>
      </c>
      <c r="D8" s="12">
        <v>395.76</v>
      </c>
      <c r="E8" s="9"/>
      <c r="F8">
        <v>126031954</v>
      </c>
      <c r="H8" s="11"/>
      <c r="I8" s="11"/>
      <c r="J8" s="19"/>
      <c r="K8" s="11"/>
      <c r="L8" s="11"/>
      <c r="M8" s="11"/>
      <c r="N8" s="11"/>
    </row>
    <row r="9" spans="1:14">
      <c r="A9" s="85" t="s">
        <v>9</v>
      </c>
      <c r="B9" s="7" t="s">
        <v>21</v>
      </c>
      <c r="C9" s="1" t="s">
        <v>25</v>
      </c>
      <c r="D9" s="12">
        <v>35</v>
      </c>
      <c r="E9" s="16"/>
      <c r="F9" s="9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45554</v>
      </c>
      <c r="B10" s="7" t="s">
        <v>31</v>
      </c>
      <c r="C10" s="1" t="s">
        <v>1305</v>
      </c>
      <c r="D10" s="12">
        <v>64.099999999999994</v>
      </c>
      <c r="E10" s="9"/>
      <c r="F10" s="84"/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45555</v>
      </c>
      <c r="B11" s="7" t="s">
        <v>863</v>
      </c>
      <c r="C11" s="1" t="s">
        <v>548</v>
      </c>
      <c r="D11" s="12">
        <v>397.43</v>
      </c>
      <c r="E11" s="12"/>
      <c r="F11" s="100"/>
      <c r="G11" s="35"/>
      <c r="H11" s="1"/>
      <c r="I11" s="8"/>
      <c r="J11" s="18"/>
      <c r="K11" s="1"/>
      <c r="L11" s="1"/>
      <c r="M11" s="1"/>
      <c r="N11" s="1"/>
    </row>
    <row r="12" spans="1:14">
      <c r="A12" s="51">
        <v>45555</v>
      </c>
      <c r="B12" s="7" t="s">
        <v>367</v>
      </c>
      <c r="C12" s="1" t="s">
        <v>35</v>
      </c>
      <c r="D12" s="12">
        <v>161</v>
      </c>
      <c r="E12" s="9"/>
      <c r="F12" s="65"/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97" t="s">
        <v>1386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45555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45541</v>
      </c>
      <c r="B17" s="1" t="s">
        <v>1255</v>
      </c>
      <c r="C17" s="88" t="s">
        <v>41</v>
      </c>
      <c r="D17" s="12">
        <v>320</v>
      </c>
      <c r="E17" s="1"/>
      <c r="F17" s="89">
        <v>7789435726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45541</v>
      </c>
      <c r="B21" s="1" t="s">
        <v>27</v>
      </c>
      <c r="C21" s="1" t="s">
        <v>43</v>
      </c>
      <c r="D21" s="12">
        <v>0</v>
      </c>
      <c r="E21" s="1"/>
      <c r="F21" s="89" t="s">
        <v>1491</v>
      </c>
      <c r="G21" s="1"/>
      <c r="H21" s="1"/>
      <c r="I21" s="1"/>
      <c r="J21" s="18"/>
      <c r="K21" s="1"/>
      <c r="L21" s="1"/>
      <c r="M21" s="1"/>
      <c r="N21" s="1"/>
    </row>
    <row r="22" spans="1:14" ht="18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101"/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45541</v>
      </c>
      <c r="B23" s="1" t="s">
        <v>51</v>
      </c>
      <c r="C23" s="1" t="s">
        <v>932</v>
      </c>
      <c r="D23">
        <v>100</v>
      </c>
      <c r="E23" s="1"/>
      <c r="F23" s="65" t="s">
        <v>1490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3073.18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7161.7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4088.52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1022.13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5128-3E95-4136-8638-FD1BF3F300C2}">
  <dimension ref="A1:N48"/>
  <sheetViews>
    <sheetView workbookViewId="0">
      <selection activeCell="C1" sqref="C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1493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45564</v>
      </c>
      <c r="B3" s="7" t="s">
        <v>6</v>
      </c>
      <c r="C3" s="1" t="s">
        <v>359</v>
      </c>
      <c r="D3" s="8">
        <v>1209.9000000000001</v>
      </c>
      <c r="E3" s="9"/>
      <c r="F3" s="99" t="s">
        <v>1494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45564</v>
      </c>
      <c r="B5" s="7" t="s">
        <v>10</v>
      </c>
      <c r="C5" s="1" t="s">
        <v>1428</v>
      </c>
      <c r="D5" s="12">
        <v>244.42</v>
      </c>
      <c r="E5" s="9"/>
      <c r="F5" s="64" t="s">
        <v>1239</v>
      </c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4">
      <c r="A7" s="51">
        <v>45569</v>
      </c>
      <c r="B7" s="7" t="s">
        <v>155</v>
      </c>
      <c r="C7" s="1" t="s">
        <v>16</v>
      </c>
      <c r="D7" s="12">
        <v>78</v>
      </c>
      <c r="E7" s="12"/>
      <c r="F7" s="82"/>
      <c r="H7" s="7"/>
      <c r="I7" s="96"/>
      <c r="J7" s="17"/>
      <c r="K7" s="7"/>
      <c r="L7" s="7"/>
      <c r="M7" s="7"/>
      <c r="N7" s="7"/>
    </row>
    <row r="8" spans="1:14">
      <c r="A8" s="85">
        <v>45569</v>
      </c>
      <c r="B8" s="7" t="s">
        <v>21</v>
      </c>
      <c r="C8" s="1" t="s">
        <v>23</v>
      </c>
      <c r="D8" s="12">
        <v>395.76</v>
      </c>
      <c r="E8" s="9"/>
      <c r="F8">
        <v>127332520</v>
      </c>
      <c r="H8" s="11"/>
      <c r="I8" s="11"/>
      <c r="J8" s="19"/>
      <c r="K8" s="11"/>
      <c r="L8" s="11"/>
      <c r="M8" s="11"/>
      <c r="N8" s="11"/>
    </row>
    <row r="9" spans="1:14">
      <c r="A9" s="85">
        <v>45569</v>
      </c>
      <c r="B9" s="7" t="s">
        <v>21</v>
      </c>
      <c r="C9" s="1" t="s">
        <v>25</v>
      </c>
      <c r="D9" s="12">
        <v>35</v>
      </c>
      <c r="E9" s="16"/>
      <c r="F9" s="93" t="s">
        <v>1208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45582</v>
      </c>
      <c r="B10" s="7" t="s">
        <v>31</v>
      </c>
      <c r="C10" s="1" t="s">
        <v>1305</v>
      </c>
      <c r="D10" s="12">
        <v>64.099999999999994</v>
      </c>
      <c r="E10" s="9"/>
      <c r="F10" s="84" t="s">
        <v>1208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45583</v>
      </c>
      <c r="B11" s="7" t="s">
        <v>863</v>
      </c>
      <c r="C11" s="1" t="s">
        <v>548</v>
      </c>
      <c r="D11" s="12">
        <v>397.43</v>
      </c>
      <c r="E11" s="12"/>
      <c r="F11" s="100" t="s">
        <v>1498</v>
      </c>
      <c r="G11" s="35"/>
      <c r="H11" s="1"/>
      <c r="I11" s="8"/>
      <c r="J11" s="18"/>
      <c r="K11" s="1"/>
      <c r="L11" s="1"/>
      <c r="M11" s="1"/>
      <c r="N11" s="1"/>
    </row>
    <row r="12" spans="1:14">
      <c r="A12" s="51">
        <v>45589</v>
      </c>
      <c r="B12" s="7" t="s">
        <v>367</v>
      </c>
      <c r="C12" s="1" t="s">
        <v>35</v>
      </c>
      <c r="D12" s="12">
        <v>161</v>
      </c>
      <c r="E12" s="9"/>
      <c r="F12" s="65" t="s">
        <v>1499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97" t="s">
        <v>1386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45589</v>
      </c>
      <c r="B14" s="7" t="s">
        <v>1257</v>
      </c>
      <c r="C14" s="1" t="s">
        <v>1254</v>
      </c>
      <c r="D14" s="12">
        <v>79.989999999999995</v>
      </c>
      <c r="E14" s="1"/>
      <c r="F14" s="65" t="s">
        <v>1208</v>
      </c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45570</v>
      </c>
      <c r="B17" s="1" t="s">
        <v>1255</v>
      </c>
      <c r="C17" s="88" t="s">
        <v>41</v>
      </c>
      <c r="D17" s="12">
        <v>320</v>
      </c>
      <c r="E17" s="1"/>
      <c r="F17" s="89">
        <v>7861006631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45569</v>
      </c>
      <c r="B21" s="1" t="s">
        <v>27</v>
      </c>
      <c r="C21" s="1" t="s">
        <v>43</v>
      </c>
      <c r="D21" s="12">
        <v>0</v>
      </c>
      <c r="E21" s="1"/>
      <c r="F21" s="89" t="s">
        <v>1495</v>
      </c>
      <c r="G21" s="1"/>
      <c r="H21" s="1"/>
      <c r="I21" s="1"/>
      <c r="J21" s="18"/>
      <c r="K21" s="1"/>
      <c r="L21" s="1"/>
      <c r="M21" s="1"/>
      <c r="N21" s="1"/>
    </row>
    <row r="22" spans="1:14" ht="18">
      <c r="A22" s="53">
        <v>45571</v>
      </c>
      <c r="B22" s="1" t="s">
        <v>51</v>
      </c>
      <c r="C22" s="1" t="s">
        <v>1312</v>
      </c>
      <c r="D22" s="12">
        <v>0</v>
      </c>
      <c r="E22" s="1"/>
      <c r="F22" s="101" t="s">
        <v>1496</v>
      </c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45583</v>
      </c>
      <c r="B23" s="1" t="s">
        <v>51</v>
      </c>
      <c r="C23" s="1" t="s">
        <v>932</v>
      </c>
      <c r="D23">
        <v>100</v>
      </c>
      <c r="E23" s="1"/>
      <c r="F23" s="65" t="s">
        <v>1497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3085.6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7161.7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4076.1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1019.025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08E6-693D-4F13-BEF2-0A7560D564F6}">
  <dimension ref="A1:N48"/>
  <sheetViews>
    <sheetView workbookViewId="0">
      <selection activeCell="C1" sqref="C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1500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>
        <v>45597</v>
      </c>
      <c r="B3" s="7" t="s">
        <v>6</v>
      </c>
      <c r="C3" s="1" t="s">
        <v>359</v>
      </c>
      <c r="D3" s="8">
        <v>1208.8900000000001</v>
      </c>
      <c r="E3" s="9"/>
      <c r="F3" s="99" t="s">
        <v>1502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45596</v>
      </c>
      <c r="B5" s="7" t="s">
        <v>10</v>
      </c>
      <c r="C5" s="1" t="s">
        <v>1428</v>
      </c>
      <c r="D5" s="12">
        <v>244.42</v>
      </c>
      <c r="E5" s="9"/>
      <c r="F5" s="64" t="s">
        <v>1501</v>
      </c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4">
      <c r="A7" s="51">
        <v>45611</v>
      </c>
      <c r="B7" s="7" t="s">
        <v>1503</v>
      </c>
      <c r="C7" s="1" t="s">
        <v>16</v>
      </c>
      <c r="D7" s="12">
        <v>78</v>
      </c>
      <c r="E7" s="12"/>
      <c r="F7" s="82">
        <v>5201477435</v>
      </c>
      <c r="H7" s="7"/>
      <c r="I7" s="96"/>
      <c r="J7" s="17"/>
      <c r="K7" s="7"/>
      <c r="L7" s="7"/>
      <c r="M7" s="7"/>
      <c r="N7" s="7"/>
    </row>
    <row r="8" spans="1:14">
      <c r="A8" s="85">
        <v>45611</v>
      </c>
      <c r="B8" s="7" t="s">
        <v>21</v>
      </c>
      <c r="C8" s="1" t="s">
        <v>23</v>
      </c>
      <c r="D8" s="12">
        <v>395.76</v>
      </c>
      <c r="E8" s="9"/>
      <c r="F8">
        <v>129176567</v>
      </c>
      <c r="H8" s="11"/>
      <c r="I8" s="11"/>
      <c r="J8" s="19"/>
      <c r="K8" s="11"/>
      <c r="L8" s="11"/>
      <c r="M8" s="11"/>
      <c r="N8" s="11"/>
    </row>
    <row r="9" spans="1:14">
      <c r="A9" s="85" t="s">
        <v>9</v>
      </c>
      <c r="B9" s="7" t="s">
        <v>21</v>
      </c>
      <c r="C9" s="1" t="s">
        <v>25</v>
      </c>
      <c r="D9" s="12">
        <v>35</v>
      </c>
      <c r="E9" s="16"/>
      <c r="F9" s="93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45610</v>
      </c>
      <c r="B10" s="7" t="s">
        <v>31</v>
      </c>
      <c r="C10" s="1" t="s">
        <v>1305</v>
      </c>
      <c r="D10" s="12">
        <v>64.099999999999994</v>
      </c>
      <c r="E10" s="9"/>
      <c r="F10" s="84" t="s">
        <v>1208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45611</v>
      </c>
      <c r="B11" s="7" t="s">
        <v>863</v>
      </c>
      <c r="C11" s="1" t="s">
        <v>548</v>
      </c>
      <c r="D11" s="12">
        <v>397.43</v>
      </c>
      <c r="E11" s="12"/>
      <c r="F11" s="100" t="s">
        <v>1504</v>
      </c>
      <c r="G11" s="35"/>
      <c r="H11" s="1"/>
      <c r="I11" s="8"/>
      <c r="J11" s="18"/>
      <c r="K11" s="1"/>
      <c r="L11" s="1"/>
      <c r="M11" s="1"/>
      <c r="N11" s="1"/>
    </row>
    <row r="12" spans="1:14" ht="15.75">
      <c r="A12" s="51">
        <v>45620</v>
      </c>
      <c r="B12" s="7" t="s">
        <v>367</v>
      </c>
      <c r="C12" s="1" t="s">
        <v>35</v>
      </c>
      <c r="D12" s="12">
        <v>161</v>
      </c>
      <c r="E12" s="9"/>
      <c r="F12" s="102">
        <v>123849345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97" t="s">
        <v>1386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45620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45597</v>
      </c>
      <c r="B17" s="1" t="s">
        <v>1255</v>
      </c>
      <c r="C17" s="88" t="s">
        <v>41</v>
      </c>
      <c r="D17" s="12">
        <v>320</v>
      </c>
      <c r="E17" s="1"/>
      <c r="F17" s="89">
        <v>7921571665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45611</v>
      </c>
      <c r="B21" s="1" t="s">
        <v>27</v>
      </c>
      <c r="C21" s="1" t="s">
        <v>43</v>
      </c>
      <c r="D21" s="12">
        <v>0</v>
      </c>
      <c r="E21" s="1"/>
      <c r="F21" s="89" t="s">
        <v>1505</v>
      </c>
      <c r="G21" s="1"/>
      <c r="H21" s="1"/>
      <c r="I21" s="1"/>
      <c r="J21" s="18"/>
      <c r="K21" s="1"/>
      <c r="L21" s="1"/>
      <c r="M21" s="1"/>
      <c r="N21" s="1"/>
    </row>
    <row r="22" spans="1:14" ht="18">
      <c r="A22" s="53">
        <v>45610</v>
      </c>
      <c r="B22" s="1" t="s">
        <v>51</v>
      </c>
      <c r="C22" s="1" t="s">
        <v>1312</v>
      </c>
      <c r="D22" s="12">
        <v>0</v>
      </c>
      <c r="E22" s="1"/>
      <c r="F22" s="101" t="s">
        <v>1506</v>
      </c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45611</v>
      </c>
      <c r="B23" s="1" t="s">
        <v>51</v>
      </c>
      <c r="C23" s="1" t="s">
        <v>932</v>
      </c>
      <c r="D23">
        <v>100</v>
      </c>
      <c r="E23" s="1"/>
      <c r="F23" s="65" t="s">
        <v>1507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3084.5899999999997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7161.7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4077.11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1019.2775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  <pageSetup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966A-E633-443A-B423-491F526D203C}">
  <dimension ref="A1:N48"/>
  <sheetViews>
    <sheetView workbookViewId="0">
      <selection activeCell="C1" sqref="C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1508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8">
      <c r="A3" s="51">
        <v>45625</v>
      </c>
      <c r="B3" s="7" t="s">
        <v>6</v>
      </c>
      <c r="C3" s="1" t="s">
        <v>359</v>
      </c>
      <c r="D3" s="8">
        <v>1208.8900000000001</v>
      </c>
      <c r="E3" s="9"/>
      <c r="F3" s="103" t="s">
        <v>1509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45628</v>
      </c>
      <c r="B5" s="7" t="s">
        <v>10</v>
      </c>
      <c r="C5" s="1" t="s">
        <v>1428</v>
      </c>
      <c r="D5" s="12">
        <v>244.42</v>
      </c>
      <c r="E5" s="9"/>
      <c r="F5" s="64" t="s">
        <v>1501</v>
      </c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4">
      <c r="A7" s="51">
        <v>45639</v>
      </c>
      <c r="B7" s="7" t="s">
        <v>1503</v>
      </c>
      <c r="C7" s="1" t="s">
        <v>16</v>
      </c>
      <c r="D7" s="12">
        <v>77</v>
      </c>
      <c r="E7" s="12"/>
      <c r="F7" s="60">
        <v>4923351887</v>
      </c>
      <c r="H7" s="7"/>
      <c r="I7" s="96"/>
      <c r="J7" s="17"/>
      <c r="K7" s="7"/>
      <c r="L7" s="7"/>
      <c r="M7" s="7"/>
      <c r="N7" s="7"/>
    </row>
    <row r="8" spans="1:14">
      <c r="A8" s="85">
        <v>45639</v>
      </c>
      <c r="B8" s="7" t="s">
        <v>21</v>
      </c>
      <c r="C8" s="1" t="s">
        <v>23</v>
      </c>
      <c r="D8" s="12">
        <v>395.76</v>
      </c>
      <c r="E8" s="9"/>
      <c r="F8" s="60">
        <v>130529884</v>
      </c>
      <c r="H8" s="11"/>
      <c r="I8" s="11"/>
      <c r="J8" s="19"/>
      <c r="K8" s="11"/>
      <c r="L8" s="11"/>
      <c r="M8" s="11"/>
      <c r="N8" s="11"/>
    </row>
    <row r="9" spans="1:14">
      <c r="A9" s="85">
        <v>45641</v>
      </c>
      <c r="B9" s="7" t="s">
        <v>21</v>
      </c>
      <c r="C9" s="1" t="s">
        <v>25</v>
      </c>
      <c r="D9" s="12">
        <v>35</v>
      </c>
      <c r="E9" s="16"/>
      <c r="F9" s="60" t="s">
        <v>1330</v>
      </c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45639</v>
      </c>
      <c r="B10" s="7" t="s">
        <v>31</v>
      </c>
      <c r="C10" s="1" t="s">
        <v>1305</v>
      </c>
      <c r="D10" s="12">
        <v>64.099999999999994</v>
      </c>
      <c r="E10" s="9"/>
      <c r="F10" s="84" t="s">
        <v>1208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>
        <v>45639</v>
      </c>
      <c r="B11" s="7" t="s">
        <v>863</v>
      </c>
      <c r="C11" s="1" t="s">
        <v>548</v>
      </c>
      <c r="D11" s="12">
        <v>397.43</v>
      </c>
      <c r="E11" s="12"/>
      <c r="F11" s="100" t="s">
        <v>1513</v>
      </c>
      <c r="G11" s="35"/>
      <c r="H11" s="1"/>
      <c r="I11" s="8"/>
      <c r="J11" s="18"/>
      <c r="K11" s="1"/>
      <c r="L11" s="1"/>
      <c r="M11" s="1"/>
      <c r="N11" s="1"/>
    </row>
    <row r="12" spans="1:14" ht="15.75">
      <c r="A12" s="51">
        <v>45652</v>
      </c>
      <c r="B12" s="7" t="s">
        <v>367</v>
      </c>
      <c r="C12" s="1" t="s">
        <v>35</v>
      </c>
      <c r="D12" s="12">
        <v>161</v>
      </c>
      <c r="E12" s="9"/>
      <c r="F12" s="102">
        <v>124602940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97" t="s">
        <v>1386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45652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45629</v>
      </c>
      <c r="B17" s="1" t="s">
        <v>1255</v>
      </c>
      <c r="C17" s="88" t="s">
        <v>41</v>
      </c>
      <c r="D17" s="12">
        <v>320</v>
      </c>
      <c r="E17" s="1"/>
      <c r="F17" s="89">
        <v>8000258772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45639</v>
      </c>
      <c r="B21" s="1" t="s">
        <v>27</v>
      </c>
      <c r="C21" s="1" t="s">
        <v>43</v>
      </c>
      <c r="D21" s="12">
        <v>0</v>
      </c>
      <c r="E21" s="1"/>
      <c r="F21" s="89" t="s">
        <v>1511</v>
      </c>
      <c r="G21" s="1"/>
      <c r="H21" s="1"/>
      <c r="I21" s="1"/>
      <c r="J21" s="18"/>
      <c r="K21" s="1"/>
      <c r="L21" s="1"/>
      <c r="M21" s="1"/>
      <c r="N21" s="1"/>
    </row>
    <row r="22" spans="1:14" ht="18">
      <c r="A22" s="53">
        <v>45639</v>
      </c>
      <c r="B22" s="1" t="s">
        <v>51</v>
      </c>
      <c r="C22" s="1" t="s">
        <v>1312</v>
      </c>
      <c r="D22" s="12">
        <v>0</v>
      </c>
      <c r="E22" s="1"/>
      <c r="F22" s="101" t="s">
        <v>1510</v>
      </c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45639</v>
      </c>
      <c r="B23" s="1" t="s">
        <v>51</v>
      </c>
      <c r="C23" s="1" t="s">
        <v>932</v>
      </c>
      <c r="D23">
        <v>100</v>
      </c>
      <c r="E23" s="1"/>
      <c r="F23" s="65" t="s">
        <v>1512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82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93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3083.5899999999997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7161.7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4078.11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1019.5275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7989-D917-4BB8-80DC-809FA5157754}">
  <dimension ref="A1:N48"/>
  <sheetViews>
    <sheetView workbookViewId="0">
      <selection activeCell="C1" sqref="C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4" ht="20.25">
      <c r="A1" s="87" t="s">
        <v>1515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8">
      <c r="A3" s="51">
        <v>45656</v>
      </c>
      <c r="B3" s="7" t="s">
        <v>6</v>
      </c>
      <c r="C3" s="1" t="s">
        <v>359</v>
      </c>
      <c r="D3" s="8">
        <v>1208.8900000000001</v>
      </c>
      <c r="E3" s="9"/>
      <c r="F3" s="103" t="s">
        <v>1514</v>
      </c>
      <c r="G3" s="11"/>
      <c r="H3" s="11"/>
      <c r="I3" s="11"/>
      <c r="J3" s="58"/>
      <c r="K3" s="11"/>
      <c r="L3" s="11"/>
      <c r="M3" s="11"/>
      <c r="N3" s="11"/>
    </row>
    <row r="4" spans="1:14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4" ht="15.75">
      <c r="A5" s="51">
        <v>45658</v>
      </c>
      <c r="B5" s="7" t="s">
        <v>10</v>
      </c>
      <c r="C5" s="1" t="s">
        <v>1428</v>
      </c>
      <c r="D5" s="12">
        <v>244.42</v>
      </c>
      <c r="E5" s="9"/>
      <c r="F5" s="64" t="s">
        <v>1501</v>
      </c>
      <c r="G5" s="11"/>
      <c r="H5" s="11"/>
      <c r="I5" s="59"/>
      <c r="J5" s="19"/>
      <c r="K5" s="11"/>
      <c r="L5" s="11"/>
      <c r="M5" s="11"/>
      <c r="N5" s="11"/>
    </row>
    <row r="6" spans="1:14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4">
      <c r="A7" s="51">
        <v>45667</v>
      </c>
      <c r="B7" s="7" t="s">
        <v>1503</v>
      </c>
      <c r="C7" s="1" t="s">
        <v>16</v>
      </c>
      <c r="D7" s="12">
        <v>77</v>
      </c>
      <c r="E7" s="12"/>
      <c r="F7" s="60" t="s">
        <v>1516</v>
      </c>
      <c r="H7" s="7"/>
      <c r="I7" s="96"/>
      <c r="J7" s="17"/>
      <c r="K7" s="7"/>
      <c r="L7" s="7"/>
      <c r="M7" s="7"/>
      <c r="N7" s="7"/>
    </row>
    <row r="8" spans="1:14">
      <c r="A8" s="85">
        <v>45667</v>
      </c>
      <c r="B8" s="7" t="s">
        <v>21</v>
      </c>
      <c r="C8" s="1" t="s">
        <v>23</v>
      </c>
      <c r="D8" s="12">
        <v>395.76</v>
      </c>
      <c r="E8" s="9"/>
      <c r="F8" s="60">
        <v>131810529</v>
      </c>
      <c r="H8" s="11"/>
      <c r="I8" s="11"/>
      <c r="J8" s="19"/>
      <c r="K8" s="11"/>
      <c r="L8" s="11"/>
      <c r="M8" s="11"/>
      <c r="N8" s="11"/>
    </row>
    <row r="9" spans="1:14">
      <c r="A9" s="85" t="s">
        <v>9</v>
      </c>
      <c r="B9" s="7" t="s">
        <v>21</v>
      </c>
      <c r="C9" s="1" t="s">
        <v>25</v>
      </c>
      <c r="D9" s="12">
        <v>35</v>
      </c>
      <c r="E9" s="16"/>
      <c r="G9" s="11"/>
      <c r="H9" s="11"/>
      <c r="I9" s="11"/>
      <c r="J9" s="19"/>
      <c r="K9" s="11"/>
      <c r="L9" s="11"/>
      <c r="M9" s="11"/>
      <c r="N9" s="11"/>
    </row>
    <row r="10" spans="1:14">
      <c r="A10" s="51">
        <v>45667</v>
      </c>
      <c r="B10" s="7" t="s">
        <v>31</v>
      </c>
      <c r="C10" s="1" t="s">
        <v>1305</v>
      </c>
      <c r="D10" s="12">
        <v>64.099999999999994</v>
      </c>
      <c r="E10" s="9"/>
      <c r="F10" s="84" t="s">
        <v>1208</v>
      </c>
      <c r="G10" s="20"/>
      <c r="H10" s="11"/>
      <c r="I10" s="11"/>
      <c r="J10" s="19"/>
      <c r="K10" s="11"/>
      <c r="L10" s="11"/>
      <c r="M10" s="11"/>
      <c r="N10" s="11"/>
    </row>
    <row r="11" spans="1:14">
      <c r="A11" s="51" t="s">
        <v>9</v>
      </c>
      <c r="B11" s="7" t="s">
        <v>863</v>
      </c>
      <c r="C11" s="1" t="s">
        <v>548</v>
      </c>
      <c r="D11" s="12">
        <v>397.43</v>
      </c>
      <c r="E11" s="12"/>
      <c r="F11" s="100"/>
      <c r="G11" s="35"/>
      <c r="H11" s="1"/>
      <c r="I11" s="8"/>
      <c r="J11" s="18"/>
      <c r="K11" s="1"/>
      <c r="L11" s="1"/>
      <c r="M11" s="1"/>
      <c r="N11" s="1"/>
    </row>
    <row r="12" spans="1:14" ht="15.75">
      <c r="A12" s="51">
        <v>45681</v>
      </c>
      <c r="B12" s="7" t="s">
        <v>367</v>
      </c>
      <c r="C12" s="1" t="s">
        <v>35</v>
      </c>
      <c r="D12" s="12">
        <v>161</v>
      </c>
      <c r="E12" s="9"/>
      <c r="F12" s="102" t="s">
        <v>1523</v>
      </c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97" t="s">
        <v>1386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>
        <v>45681</v>
      </c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45666</v>
      </c>
      <c r="B17" s="1" t="s">
        <v>1255</v>
      </c>
      <c r="C17" s="88" t="s">
        <v>41</v>
      </c>
      <c r="D17" s="12">
        <v>320</v>
      </c>
      <c r="E17" s="1"/>
      <c r="F17" s="89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45667</v>
      </c>
      <c r="B21" s="1" t="s">
        <v>27</v>
      </c>
      <c r="C21" s="1" t="s">
        <v>43</v>
      </c>
      <c r="D21" s="12">
        <v>0</v>
      </c>
      <c r="E21" s="1"/>
      <c r="F21" s="89" t="s">
        <v>1517</v>
      </c>
      <c r="G21" s="1"/>
      <c r="H21" s="1"/>
      <c r="I21" s="1"/>
      <c r="J21" s="18"/>
      <c r="K21" s="1"/>
      <c r="L21" s="1"/>
      <c r="M21" s="1"/>
      <c r="N21" s="1"/>
    </row>
    <row r="22" spans="1:14" ht="18">
      <c r="A22" s="53">
        <v>45667</v>
      </c>
      <c r="B22" s="1" t="s">
        <v>51</v>
      </c>
      <c r="C22" s="1" t="s">
        <v>1312</v>
      </c>
      <c r="D22" s="12">
        <v>0</v>
      </c>
      <c r="E22" s="1"/>
      <c r="F22" s="101" t="s">
        <v>1519</v>
      </c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45667</v>
      </c>
      <c r="B23" s="1" t="s">
        <v>51</v>
      </c>
      <c r="C23" s="1" t="s">
        <v>932</v>
      </c>
      <c r="D23">
        <v>100</v>
      </c>
      <c r="E23" s="1"/>
      <c r="F23" s="65" t="s">
        <v>1520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82"/>
      <c r="G25" s="1"/>
      <c r="H25" s="1"/>
      <c r="I25" s="1"/>
      <c r="J25" s="18"/>
      <c r="K25" s="1"/>
      <c r="L25" s="1"/>
      <c r="M25" s="1"/>
      <c r="N25" s="1"/>
    </row>
    <row r="26" spans="1:14">
      <c r="A26" s="53">
        <v>45667</v>
      </c>
      <c r="B26" s="1" t="s">
        <v>34</v>
      </c>
      <c r="C26" s="1" t="s">
        <v>1313</v>
      </c>
      <c r="D26" s="12">
        <v>0</v>
      </c>
      <c r="E26" s="1"/>
      <c r="F26" t="s">
        <v>1518</v>
      </c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93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3083.5899999999997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7161.7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4078.11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1019.5275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865B-CD77-46F1-A941-B13D72A466F3}">
  <dimension ref="A1:S48"/>
  <sheetViews>
    <sheetView workbookViewId="0">
      <selection activeCell="C1" sqref="C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1521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8">
      <c r="A3" s="51">
        <v>45688</v>
      </c>
      <c r="B3" s="7" t="s">
        <v>6</v>
      </c>
      <c r="C3" s="1" t="s">
        <v>359</v>
      </c>
      <c r="D3" s="8">
        <v>1208.8900000000001</v>
      </c>
      <c r="E3" s="9"/>
      <c r="F3" s="103" t="s">
        <v>1522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9" ht="15.75">
      <c r="A5" s="51">
        <v>45688</v>
      </c>
      <c r="B5" s="7" t="s">
        <v>10</v>
      </c>
      <c r="C5" s="1" t="s">
        <v>1428</v>
      </c>
      <c r="D5" s="12">
        <v>244.42</v>
      </c>
      <c r="E5" s="9"/>
      <c r="F5" s="64" t="s">
        <v>1501</v>
      </c>
      <c r="G5" s="11"/>
      <c r="H5" s="11"/>
      <c r="I5" s="59"/>
      <c r="J5" s="19"/>
      <c r="K5" s="11"/>
      <c r="L5" s="11"/>
      <c r="M5" s="11"/>
      <c r="N5" s="11"/>
    </row>
    <row r="6" spans="1:19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9">
      <c r="A7" s="51">
        <v>45695</v>
      </c>
      <c r="B7" s="7" t="s">
        <v>1503</v>
      </c>
      <c r="C7" s="1" t="s">
        <v>16</v>
      </c>
      <c r="D7" s="12">
        <v>77</v>
      </c>
      <c r="E7" s="12"/>
      <c r="F7" s="60" t="s">
        <v>1524</v>
      </c>
      <c r="H7" s="7"/>
      <c r="I7" s="96"/>
      <c r="J7" s="17"/>
      <c r="K7" s="7"/>
      <c r="L7" s="7"/>
      <c r="M7" s="7"/>
      <c r="N7" s="7"/>
    </row>
    <row r="8" spans="1:19">
      <c r="A8" s="85">
        <v>45695</v>
      </c>
      <c r="B8" s="7" t="s">
        <v>21</v>
      </c>
      <c r="C8" s="1" t="s">
        <v>23</v>
      </c>
      <c r="D8" s="12">
        <v>395.76</v>
      </c>
      <c r="E8" s="9"/>
      <c r="F8" s="60">
        <v>133140733</v>
      </c>
      <c r="H8" s="11"/>
      <c r="I8" s="11"/>
      <c r="J8" s="19"/>
      <c r="K8" s="11"/>
      <c r="L8" s="11"/>
      <c r="M8" s="11"/>
      <c r="N8" s="11"/>
    </row>
    <row r="9" spans="1:19">
      <c r="A9" s="85">
        <v>45695</v>
      </c>
      <c r="B9" s="7" t="s">
        <v>21</v>
      </c>
      <c r="C9" s="1" t="s">
        <v>25</v>
      </c>
      <c r="D9" s="12">
        <v>35</v>
      </c>
      <c r="E9" s="16"/>
      <c r="F9" s="60" t="s">
        <v>1525</v>
      </c>
      <c r="G9" s="11"/>
      <c r="H9" s="11"/>
      <c r="I9" s="11"/>
      <c r="J9" s="19"/>
      <c r="K9" s="11"/>
      <c r="L9" s="11"/>
      <c r="M9" s="11"/>
      <c r="N9" s="11"/>
    </row>
    <row r="10" spans="1:19">
      <c r="A10" s="51">
        <v>45695</v>
      </c>
      <c r="B10" s="7" t="s">
        <v>31</v>
      </c>
      <c r="C10" s="1" t="s">
        <v>1305</v>
      </c>
      <c r="D10" s="12">
        <v>64.099999999999994</v>
      </c>
      <c r="E10" s="9"/>
      <c r="F10" s="84" t="s">
        <v>1208</v>
      </c>
      <c r="G10" s="20"/>
      <c r="H10" s="11"/>
      <c r="I10" s="11"/>
      <c r="J10" s="19"/>
      <c r="K10" s="11"/>
      <c r="L10" s="11"/>
      <c r="M10" s="11"/>
      <c r="N10" s="11"/>
    </row>
    <row r="11" spans="1:19">
      <c r="A11" s="51">
        <v>45695</v>
      </c>
      <c r="B11" s="7" t="s">
        <v>863</v>
      </c>
      <c r="C11" s="1" t="s">
        <v>864</v>
      </c>
      <c r="D11" s="12">
        <v>479</v>
      </c>
      <c r="E11" s="12"/>
      <c r="F11" s="100" t="s">
        <v>1526</v>
      </c>
      <c r="G11" s="35"/>
      <c r="H11" s="1"/>
      <c r="I11" s="8"/>
      <c r="J11" s="18"/>
      <c r="K11" s="1"/>
      <c r="L11" s="1"/>
      <c r="M11" s="1"/>
      <c r="N11" s="1"/>
    </row>
    <row r="12" spans="1:19" ht="15.75">
      <c r="A12" s="51">
        <v>45709</v>
      </c>
      <c r="B12" s="7" t="s">
        <v>367</v>
      </c>
      <c r="C12" s="1" t="s">
        <v>35</v>
      </c>
      <c r="D12" s="12">
        <v>161</v>
      </c>
      <c r="E12" s="9"/>
      <c r="F12" s="102">
        <v>10432687</v>
      </c>
      <c r="G12" s="7"/>
      <c r="H12" s="7"/>
      <c r="I12" s="7"/>
      <c r="J12" s="17"/>
      <c r="K12" s="7"/>
      <c r="L12" s="7"/>
      <c r="M12" s="7"/>
      <c r="N12" s="7"/>
    </row>
    <row r="13" spans="1:19">
      <c r="A13" s="51">
        <v>45709</v>
      </c>
      <c r="B13" s="97" t="s">
        <v>1386</v>
      </c>
      <c r="C13" s="94" t="s">
        <v>1277</v>
      </c>
      <c r="D13" s="12">
        <v>0</v>
      </c>
      <c r="E13" s="9"/>
      <c r="F13" s="65" t="s">
        <v>1529</v>
      </c>
      <c r="G13" s="7"/>
      <c r="H13" s="7"/>
      <c r="I13" s="7"/>
      <c r="J13" s="17"/>
      <c r="K13" s="7"/>
      <c r="L13" s="7"/>
      <c r="M13" s="7"/>
      <c r="N13" s="7"/>
    </row>
    <row r="14" spans="1:19">
      <c r="A14" s="52">
        <v>45709</v>
      </c>
      <c r="B14" s="7" t="s">
        <v>1257</v>
      </c>
      <c r="C14" s="1" t="s">
        <v>1254</v>
      </c>
      <c r="D14" s="12">
        <v>79.989999999999995</v>
      </c>
      <c r="E14" s="1"/>
      <c r="F14" s="65" t="s">
        <v>1208</v>
      </c>
      <c r="G14" s="1"/>
      <c r="H14" s="1"/>
      <c r="I14" s="1"/>
      <c r="J14" s="18"/>
      <c r="K14" s="1"/>
      <c r="L14" s="1"/>
      <c r="M14" s="1"/>
      <c r="N14" s="1"/>
    </row>
    <row r="15" spans="1:19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  <c r="S15" s="104"/>
    </row>
    <row r="16" spans="1:19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45695</v>
      </c>
      <c r="B17" s="1" t="s">
        <v>1255</v>
      </c>
      <c r="C17" s="88" t="s">
        <v>41</v>
      </c>
      <c r="D17" s="12">
        <v>320</v>
      </c>
      <c r="E17" s="1"/>
      <c r="F17" s="89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45695</v>
      </c>
      <c r="B21" s="1" t="s">
        <v>27</v>
      </c>
      <c r="C21" s="1" t="s">
        <v>43</v>
      </c>
      <c r="D21" s="12">
        <v>0</v>
      </c>
      <c r="E21" s="1"/>
      <c r="F21" s="89"/>
      <c r="G21" s="1"/>
      <c r="H21" s="1"/>
      <c r="I21" s="1"/>
      <c r="J21" s="18"/>
      <c r="K21" s="1"/>
      <c r="L21" s="1"/>
      <c r="M21" s="1"/>
      <c r="N21" s="1"/>
    </row>
    <row r="22" spans="1:14" ht="18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101"/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45695</v>
      </c>
      <c r="B23" s="1" t="s">
        <v>51</v>
      </c>
      <c r="C23" s="1" t="s">
        <v>932</v>
      </c>
      <c r="D23">
        <v>100</v>
      </c>
      <c r="E23" s="1"/>
      <c r="F23" s="65" t="s">
        <v>1527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82"/>
      <c r="G25" s="1"/>
      <c r="H25" s="1"/>
      <c r="I25" s="1"/>
      <c r="J25" s="18"/>
      <c r="K25" s="1"/>
      <c r="L25" s="1"/>
      <c r="M25" s="1"/>
      <c r="N25" s="1"/>
    </row>
    <row r="26" spans="1:14">
      <c r="A26" s="53">
        <v>45709</v>
      </c>
      <c r="B26" s="1" t="s">
        <v>34</v>
      </c>
      <c r="C26" s="1" t="s">
        <v>1313</v>
      </c>
      <c r="D26" s="12">
        <v>0</v>
      </c>
      <c r="E26" s="1"/>
      <c r="F26" t="s">
        <v>1528</v>
      </c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93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3165.16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7161.7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3996.54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999.13499999999999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A666-1981-4D38-A40A-9FA2B027E61F}">
  <dimension ref="A1:S48"/>
  <sheetViews>
    <sheetView workbookViewId="0">
      <selection activeCell="C1" sqref="C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1530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45709</v>
      </c>
      <c r="B3" s="7" t="s">
        <v>6</v>
      </c>
      <c r="C3" s="1" t="s">
        <v>359</v>
      </c>
      <c r="D3" s="8">
        <v>1208.8900000000001</v>
      </c>
      <c r="E3" s="9"/>
      <c r="F3" s="105" t="s">
        <v>1532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9" ht="15.75">
      <c r="A5" s="51">
        <v>45712</v>
      </c>
      <c r="B5" s="7" t="s">
        <v>10</v>
      </c>
      <c r="C5" s="1" t="s">
        <v>1428</v>
      </c>
      <c r="D5" s="12">
        <v>244.42</v>
      </c>
      <c r="E5" s="9"/>
      <c r="F5" s="64" t="s">
        <v>1501</v>
      </c>
      <c r="G5" s="11"/>
      <c r="H5" s="11"/>
      <c r="I5" s="59"/>
      <c r="J5" s="19"/>
      <c r="K5" s="11"/>
      <c r="L5" s="11"/>
      <c r="M5" s="11"/>
      <c r="N5" s="11"/>
    </row>
    <row r="6" spans="1:19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9">
      <c r="A7" s="51">
        <v>45723</v>
      </c>
      <c r="B7" s="7" t="s">
        <v>1503</v>
      </c>
      <c r="C7" s="1" t="s">
        <v>16</v>
      </c>
      <c r="D7" s="12">
        <v>126</v>
      </c>
      <c r="E7" s="12"/>
      <c r="F7" s="60" t="s">
        <v>1534</v>
      </c>
      <c r="H7" s="7"/>
      <c r="I7" s="96"/>
      <c r="J7" s="17"/>
      <c r="K7" s="7"/>
      <c r="L7" s="7"/>
      <c r="M7" s="7"/>
      <c r="N7" s="7"/>
    </row>
    <row r="8" spans="1:19">
      <c r="A8" s="85">
        <v>45723</v>
      </c>
      <c r="B8" s="7" t="s">
        <v>21</v>
      </c>
      <c r="C8" s="1" t="s">
        <v>23</v>
      </c>
      <c r="D8" s="12">
        <v>395.76</v>
      </c>
      <c r="E8" s="9"/>
      <c r="F8" s="60">
        <v>134576116</v>
      </c>
      <c r="H8" s="11"/>
      <c r="I8" s="11"/>
      <c r="J8" s="19"/>
      <c r="K8" s="11"/>
      <c r="L8" s="11"/>
      <c r="M8" s="11"/>
      <c r="N8" s="11"/>
    </row>
    <row r="9" spans="1:19">
      <c r="A9" s="85" t="s">
        <v>9</v>
      </c>
      <c r="B9" s="7" t="s">
        <v>21</v>
      </c>
      <c r="C9" s="1" t="s">
        <v>25</v>
      </c>
      <c r="D9" s="12">
        <v>35</v>
      </c>
      <c r="E9" s="16"/>
      <c r="G9" s="11"/>
      <c r="H9" s="11"/>
      <c r="I9" s="11"/>
      <c r="J9" s="19"/>
      <c r="K9" s="11"/>
      <c r="L9" s="11"/>
      <c r="M9" s="11"/>
      <c r="N9" s="11"/>
    </row>
    <row r="10" spans="1:19">
      <c r="A10" s="51">
        <v>45723</v>
      </c>
      <c r="B10" s="7" t="s">
        <v>31</v>
      </c>
      <c r="C10" s="1" t="s">
        <v>1305</v>
      </c>
      <c r="D10" s="12">
        <v>64.099999999999994</v>
      </c>
      <c r="E10" s="9"/>
      <c r="F10" s="84" t="s">
        <v>1208</v>
      </c>
      <c r="G10" s="20"/>
      <c r="H10" s="11"/>
      <c r="I10" s="11"/>
      <c r="J10" s="19"/>
      <c r="K10" s="11"/>
      <c r="L10" s="11"/>
      <c r="M10" s="11"/>
      <c r="N10" s="11"/>
    </row>
    <row r="11" spans="1:19">
      <c r="A11" s="51">
        <v>45737</v>
      </c>
      <c r="B11" s="7" t="s">
        <v>863</v>
      </c>
      <c r="C11" s="1" t="s">
        <v>864</v>
      </c>
      <c r="D11" s="12">
        <v>479</v>
      </c>
      <c r="E11" s="12"/>
      <c r="F11" s="100" t="s">
        <v>1536</v>
      </c>
      <c r="G11" s="35"/>
      <c r="H11" s="1"/>
      <c r="I11" s="8"/>
      <c r="J11" s="18"/>
      <c r="K11" s="1"/>
      <c r="L11" s="1"/>
      <c r="M11" s="1"/>
      <c r="N11" s="1"/>
    </row>
    <row r="12" spans="1:19" ht="15.75">
      <c r="A12" s="51">
        <v>45737</v>
      </c>
      <c r="B12" s="7" t="s">
        <v>367</v>
      </c>
      <c r="C12" s="1" t="s">
        <v>35</v>
      </c>
      <c r="D12" s="12">
        <v>161</v>
      </c>
      <c r="E12" s="9"/>
      <c r="F12" s="102">
        <v>13758125</v>
      </c>
      <c r="G12" s="7"/>
      <c r="H12" s="7"/>
      <c r="I12" s="7"/>
      <c r="J12" s="17"/>
      <c r="K12" s="7"/>
      <c r="L12" s="7"/>
      <c r="M12" s="7"/>
      <c r="N12" s="7"/>
    </row>
    <row r="13" spans="1:19">
      <c r="A13" s="51" t="s">
        <v>9</v>
      </c>
      <c r="B13" s="97" t="s">
        <v>1531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9">
      <c r="A14" s="52">
        <v>45737</v>
      </c>
      <c r="B14" s="7" t="s">
        <v>1257</v>
      </c>
      <c r="C14" s="1" t="s">
        <v>1254</v>
      </c>
      <c r="D14" s="12">
        <v>79.989999999999995</v>
      </c>
      <c r="E14" s="1"/>
      <c r="F14" s="65" t="s">
        <v>1208</v>
      </c>
      <c r="G14" s="1"/>
      <c r="H14" s="1"/>
      <c r="I14" s="1"/>
      <c r="J14" s="18"/>
      <c r="K14" s="1"/>
      <c r="L14" s="1"/>
      <c r="M14" s="1"/>
      <c r="N14" s="1"/>
    </row>
    <row r="15" spans="1:19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  <c r="S15" s="104"/>
    </row>
    <row r="16" spans="1:19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45723</v>
      </c>
      <c r="B17" s="1" t="s">
        <v>1255</v>
      </c>
      <c r="C17" s="88" t="s">
        <v>41</v>
      </c>
      <c r="D17" s="12">
        <v>320</v>
      </c>
      <c r="E17" s="1"/>
      <c r="F17" s="89">
        <v>8233204684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45723</v>
      </c>
      <c r="B21" s="1" t="s">
        <v>27</v>
      </c>
      <c r="C21" s="1" t="s">
        <v>43</v>
      </c>
      <c r="D21" s="12">
        <v>0</v>
      </c>
      <c r="E21" s="1"/>
      <c r="F21" s="89" t="s">
        <v>1533</v>
      </c>
      <c r="G21" s="1"/>
      <c r="H21" s="1"/>
      <c r="I21" s="1"/>
      <c r="J21" s="18"/>
      <c r="K21" s="1"/>
      <c r="L21" s="1"/>
      <c r="M21" s="1"/>
      <c r="N21" s="1"/>
    </row>
    <row r="22" spans="1:14" ht="18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101"/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45723</v>
      </c>
      <c r="B23" s="1" t="s">
        <v>51</v>
      </c>
      <c r="C23" s="1" t="s">
        <v>932</v>
      </c>
      <c r="D23">
        <v>100</v>
      </c>
      <c r="E23" s="1"/>
      <c r="F23" s="84">
        <v>631637512941452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82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93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3214.16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7161.7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3947.54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986.88499999999999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D4C6-6000-4638-A0FD-46DEE3C94251}">
  <dimension ref="A1:S48"/>
  <sheetViews>
    <sheetView workbookViewId="0">
      <selection activeCell="C1" sqref="C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1535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45746</v>
      </c>
      <c r="B3" s="7" t="s">
        <v>6</v>
      </c>
      <c r="C3" s="1" t="s">
        <v>359</v>
      </c>
      <c r="D3" s="8">
        <v>1208.8900000000001</v>
      </c>
      <c r="E3" s="9"/>
      <c r="F3" s="105" t="s">
        <v>1537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9" ht="15.75">
      <c r="A5" s="51">
        <v>45746</v>
      </c>
      <c r="B5" s="7" t="s">
        <v>10</v>
      </c>
      <c r="C5" s="1" t="s">
        <v>1428</v>
      </c>
      <c r="D5" s="12">
        <v>260</v>
      </c>
      <c r="E5" s="9"/>
      <c r="F5" s="64" t="s">
        <v>1501</v>
      </c>
      <c r="G5" s="11"/>
      <c r="H5" s="11"/>
      <c r="I5" s="59"/>
      <c r="J5" s="19"/>
      <c r="K5" s="11"/>
      <c r="L5" s="11"/>
      <c r="M5" s="11"/>
      <c r="N5" s="11"/>
    </row>
    <row r="6" spans="1:19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9">
      <c r="A7" s="51">
        <v>45751</v>
      </c>
      <c r="B7" s="7" t="s">
        <v>1503</v>
      </c>
      <c r="C7" s="1" t="s">
        <v>16</v>
      </c>
      <c r="D7" s="12">
        <v>126</v>
      </c>
      <c r="E7" s="12"/>
      <c r="F7" s="60" t="s">
        <v>1538</v>
      </c>
      <c r="H7" s="7"/>
      <c r="I7" s="96"/>
      <c r="J7" s="17"/>
      <c r="K7" s="7"/>
      <c r="L7" s="7"/>
      <c r="M7" s="7"/>
      <c r="N7" s="7"/>
    </row>
    <row r="8" spans="1:19">
      <c r="A8" s="85">
        <v>45751</v>
      </c>
      <c r="B8" s="7" t="s">
        <v>21</v>
      </c>
      <c r="C8" s="1" t="s">
        <v>23</v>
      </c>
      <c r="D8" s="12">
        <v>395.76</v>
      </c>
      <c r="E8" s="9"/>
      <c r="F8" s="60">
        <v>135944930</v>
      </c>
      <c r="H8" s="11"/>
      <c r="I8" s="11"/>
      <c r="J8" s="19"/>
      <c r="K8" s="11"/>
      <c r="L8" s="11"/>
      <c r="M8" s="11"/>
      <c r="N8" s="11"/>
    </row>
    <row r="9" spans="1:19">
      <c r="A9" s="85">
        <v>45751</v>
      </c>
      <c r="B9" s="7" t="s">
        <v>21</v>
      </c>
      <c r="C9" s="1" t="s">
        <v>25</v>
      </c>
      <c r="D9" s="12">
        <v>35</v>
      </c>
      <c r="E9" s="16"/>
      <c r="F9" s="60" t="s">
        <v>1539</v>
      </c>
      <c r="G9" s="11"/>
      <c r="H9" s="11"/>
      <c r="I9" s="11"/>
      <c r="J9" s="19"/>
      <c r="K9" s="11"/>
      <c r="L9" s="11"/>
      <c r="M9" s="11"/>
      <c r="N9" s="11"/>
    </row>
    <row r="10" spans="1:19">
      <c r="A10" s="51">
        <v>45761</v>
      </c>
      <c r="B10" s="7" t="s">
        <v>31</v>
      </c>
      <c r="C10" s="1" t="s">
        <v>1305</v>
      </c>
      <c r="D10" s="12">
        <v>66.45</v>
      </c>
      <c r="E10" s="9"/>
      <c r="F10" s="84" t="s">
        <v>1540</v>
      </c>
      <c r="G10" s="20"/>
      <c r="H10" s="11"/>
      <c r="I10" s="11"/>
      <c r="J10" s="19"/>
      <c r="K10" s="11"/>
      <c r="L10" s="11"/>
      <c r="M10" s="11"/>
      <c r="N10" s="11"/>
    </row>
    <row r="11" spans="1:19">
      <c r="A11" s="51">
        <v>45765</v>
      </c>
      <c r="B11" s="7" t="s">
        <v>863</v>
      </c>
      <c r="C11" s="1" t="s">
        <v>864</v>
      </c>
      <c r="D11" s="12">
        <v>479</v>
      </c>
      <c r="E11" s="12"/>
      <c r="F11" s="100" t="s">
        <v>1542</v>
      </c>
      <c r="G11" s="35"/>
      <c r="H11" s="1"/>
      <c r="I11" s="8"/>
      <c r="J11" s="18"/>
      <c r="K11" s="1"/>
      <c r="L11" s="1"/>
      <c r="M11" s="1"/>
      <c r="N11" s="1"/>
    </row>
    <row r="12" spans="1:19" ht="15.75">
      <c r="A12" s="51">
        <v>45765</v>
      </c>
      <c r="B12" s="7" t="s">
        <v>367</v>
      </c>
      <c r="C12" s="1" t="s">
        <v>35</v>
      </c>
      <c r="D12" s="12">
        <v>161</v>
      </c>
      <c r="E12" s="9"/>
      <c r="F12" s="102">
        <v>17028125</v>
      </c>
      <c r="G12" s="7"/>
      <c r="H12" s="7"/>
      <c r="I12" s="7"/>
      <c r="J12" s="17"/>
      <c r="K12" s="7"/>
      <c r="L12" s="7"/>
      <c r="M12" s="7"/>
      <c r="N12" s="7"/>
    </row>
    <row r="13" spans="1:19">
      <c r="A13" s="51" t="s">
        <v>9</v>
      </c>
      <c r="B13" s="97" t="s">
        <v>1531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9">
      <c r="A14" s="52">
        <v>45775</v>
      </c>
      <c r="B14" s="7" t="s">
        <v>1257</v>
      </c>
      <c r="C14" s="1" t="s">
        <v>1254</v>
      </c>
      <c r="D14" s="12">
        <v>69.989999999999995</v>
      </c>
      <c r="E14" s="1"/>
      <c r="F14" s="65" t="s">
        <v>1208</v>
      </c>
      <c r="G14" s="1"/>
      <c r="H14" s="1"/>
      <c r="I14" s="1"/>
      <c r="J14" s="18"/>
      <c r="K14" s="1"/>
      <c r="L14" s="1"/>
      <c r="M14" s="1"/>
      <c r="N14" s="1"/>
    </row>
    <row r="15" spans="1:19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  <c r="S15" s="104"/>
    </row>
    <row r="16" spans="1:19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5.75">
      <c r="A17" s="52">
        <v>45751</v>
      </c>
      <c r="B17" s="1" t="s">
        <v>1255</v>
      </c>
      <c r="C17" s="88" t="s">
        <v>41</v>
      </c>
      <c r="D17" s="12">
        <v>320</v>
      </c>
      <c r="E17" s="1"/>
      <c r="F17" s="89">
        <v>8303994673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45751</v>
      </c>
      <c r="B21" s="1" t="s">
        <v>27</v>
      </c>
      <c r="C21" s="1" t="s">
        <v>43</v>
      </c>
      <c r="D21" s="12">
        <v>0</v>
      </c>
      <c r="E21" s="1"/>
      <c r="F21" s="89">
        <v>25040403068892</v>
      </c>
      <c r="G21" s="1"/>
      <c r="H21" s="1"/>
      <c r="I21" s="1"/>
      <c r="J21" s="18"/>
      <c r="K21" s="1"/>
      <c r="L21" s="1"/>
      <c r="M21" s="1"/>
      <c r="N21" s="1"/>
    </row>
    <row r="22" spans="1:14" ht="18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101"/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45751</v>
      </c>
      <c r="B23" s="1" t="s">
        <v>51</v>
      </c>
      <c r="C23" s="1" t="s">
        <v>932</v>
      </c>
      <c r="D23">
        <v>100</v>
      </c>
      <c r="E23" s="1"/>
      <c r="F23" s="84">
        <v>621661703941711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82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93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3222.0899999999997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7161.7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3939.61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984.90250000000003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9B8A-2CBC-4F60-B3DF-7AD63D009B23}">
  <dimension ref="A1:S48"/>
  <sheetViews>
    <sheetView workbookViewId="0">
      <selection activeCell="F16" sqref="F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1541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45779</v>
      </c>
      <c r="B3" s="7" t="s">
        <v>6</v>
      </c>
      <c r="C3" s="1" t="s">
        <v>359</v>
      </c>
      <c r="D3" s="8">
        <v>1208.8900000000001</v>
      </c>
      <c r="E3" s="9"/>
      <c r="F3" s="105" t="s">
        <v>1543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64"/>
      <c r="G4" s="11"/>
      <c r="H4" s="11"/>
      <c r="I4" s="11"/>
      <c r="J4" s="58"/>
      <c r="K4" s="11"/>
      <c r="L4" s="11"/>
      <c r="M4" s="11"/>
      <c r="N4" s="11"/>
    </row>
    <row r="5" spans="1:19" ht="15.75">
      <c r="A5" s="51">
        <v>45775</v>
      </c>
      <c r="B5" s="7" t="s">
        <v>10</v>
      </c>
      <c r="C5" s="1" t="s">
        <v>1428</v>
      </c>
      <c r="D5" s="12">
        <v>259.95</v>
      </c>
      <c r="E5" s="9"/>
      <c r="F5" s="64" t="s">
        <v>1501</v>
      </c>
      <c r="G5" s="11"/>
      <c r="H5" s="11"/>
      <c r="I5" s="59"/>
      <c r="J5" s="19"/>
      <c r="K5" s="11"/>
      <c r="L5" s="11"/>
      <c r="M5" s="11"/>
      <c r="N5" s="11"/>
    </row>
    <row r="6" spans="1:19">
      <c r="A6" s="51" t="s">
        <v>9</v>
      </c>
      <c r="B6" s="56" t="s">
        <v>581</v>
      </c>
      <c r="C6" s="1" t="s">
        <v>1422</v>
      </c>
      <c r="D6" s="12">
        <v>0</v>
      </c>
      <c r="E6" s="9"/>
      <c r="F6" s="64"/>
      <c r="G6" s="16"/>
      <c r="H6" s="7"/>
      <c r="I6" s="96"/>
      <c r="J6" s="17"/>
      <c r="K6" s="7"/>
      <c r="L6" s="7"/>
      <c r="M6" s="7"/>
      <c r="N6" s="7"/>
    </row>
    <row r="7" spans="1:19">
      <c r="A7" s="51">
        <v>45783</v>
      </c>
      <c r="B7" s="7" t="s">
        <v>1503</v>
      </c>
      <c r="C7" s="1" t="s">
        <v>16</v>
      </c>
      <c r="D7" s="12">
        <v>126</v>
      </c>
      <c r="E7" s="12"/>
      <c r="F7" s="60" t="s">
        <v>1544</v>
      </c>
      <c r="H7" s="7"/>
      <c r="I7" s="96"/>
      <c r="J7" s="17"/>
      <c r="K7" s="7"/>
      <c r="L7" s="7"/>
      <c r="M7" s="7"/>
      <c r="N7" s="7"/>
    </row>
    <row r="8" spans="1:19">
      <c r="A8" s="85">
        <v>45793</v>
      </c>
      <c r="B8" s="7" t="s">
        <v>21</v>
      </c>
      <c r="C8" s="1" t="s">
        <v>23</v>
      </c>
      <c r="D8" s="12">
        <v>395.76</v>
      </c>
      <c r="E8" s="9"/>
      <c r="F8" s="60" t="s">
        <v>1545</v>
      </c>
      <c r="H8" s="11"/>
      <c r="I8" s="11"/>
      <c r="J8" s="19"/>
      <c r="K8" s="11"/>
      <c r="L8" s="11"/>
      <c r="M8" s="11"/>
      <c r="N8" s="11"/>
    </row>
    <row r="9" spans="1:19">
      <c r="A9" s="85" t="s">
        <v>9</v>
      </c>
      <c r="B9" s="7" t="s">
        <v>21</v>
      </c>
      <c r="C9" s="1" t="s">
        <v>25</v>
      </c>
      <c r="D9" s="12">
        <v>35</v>
      </c>
      <c r="E9" s="16"/>
      <c r="G9" s="11"/>
      <c r="H9" s="11"/>
      <c r="I9" s="11"/>
      <c r="J9" s="19"/>
      <c r="K9" s="11"/>
      <c r="L9" s="11"/>
      <c r="M9" s="11"/>
      <c r="N9" s="11"/>
    </row>
    <row r="10" spans="1:19">
      <c r="A10" s="51">
        <v>45793</v>
      </c>
      <c r="B10" s="7" t="s">
        <v>31</v>
      </c>
      <c r="C10" s="1" t="s">
        <v>1305</v>
      </c>
      <c r="D10" s="12">
        <v>66.45</v>
      </c>
      <c r="E10" s="9"/>
      <c r="F10" s="84"/>
      <c r="G10" s="20"/>
      <c r="H10" s="11"/>
      <c r="I10" s="11"/>
      <c r="J10" s="19"/>
      <c r="K10" s="11"/>
      <c r="L10" s="11"/>
      <c r="M10" s="11"/>
      <c r="N10" s="11"/>
    </row>
    <row r="11" spans="1:19">
      <c r="A11" s="51">
        <v>45793</v>
      </c>
      <c r="B11" s="7" t="s">
        <v>863</v>
      </c>
      <c r="C11" s="1" t="s">
        <v>864</v>
      </c>
      <c r="D11" s="12">
        <v>479</v>
      </c>
      <c r="E11" s="12"/>
      <c r="F11" s="100" t="s">
        <v>1546</v>
      </c>
      <c r="G11" s="35"/>
      <c r="H11" s="1"/>
      <c r="I11" s="8"/>
      <c r="J11" s="18"/>
      <c r="K11" s="1"/>
      <c r="L11" s="1"/>
      <c r="M11" s="1"/>
      <c r="N11" s="1"/>
    </row>
    <row r="12" spans="1:19" ht="15.75">
      <c r="A12" s="51">
        <v>45804</v>
      </c>
      <c r="B12" s="7" t="s">
        <v>367</v>
      </c>
      <c r="C12" s="1" t="s">
        <v>35</v>
      </c>
      <c r="D12" s="12">
        <v>161</v>
      </c>
      <c r="E12" s="9"/>
      <c r="F12" s="102">
        <v>21468351</v>
      </c>
      <c r="G12" s="7"/>
      <c r="H12" s="7"/>
      <c r="I12" s="7"/>
      <c r="J12" s="17"/>
      <c r="K12" s="7"/>
      <c r="L12" s="7"/>
      <c r="M12" s="7"/>
      <c r="N12" s="7"/>
    </row>
    <row r="13" spans="1:19">
      <c r="A13" s="51" t="s">
        <v>9</v>
      </c>
      <c r="B13" s="97" t="s">
        <v>1531</v>
      </c>
      <c r="C13" s="94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9">
      <c r="A14" s="52">
        <v>45804</v>
      </c>
      <c r="B14" s="7" t="s">
        <v>1257</v>
      </c>
      <c r="C14" s="1" t="s">
        <v>1254</v>
      </c>
      <c r="D14" s="12">
        <v>79.989999999999995</v>
      </c>
      <c r="E14" s="1"/>
      <c r="F14" s="65" t="s">
        <v>1208</v>
      </c>
      <c r="G14" s="1"/>
      <c r="H14" s="1"/>
      <c r="I14" s="1"/>
      <c r="J14" s="18"/>
      <c r="K14" s="1"/>
      <c r="L14" s="1"/>
      <c r="M14" s="1"/>
      <c r="N14" s="1"/>
    </row>
    <row r="15" spans="1:19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98"/>
      <c r="L15" s="1"/>
      <c r="M15" s="1"/>
      <c r="N15" s="1"/>
      <c r="S15" s="104"/>
    </row>
    <row r="16" spans="1:19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>
        <v>45783</v>
      </c>
      <c r="B17" s="1" t="s">
        <v>1255</v>
      </c>
      <c r="C17" s="88" t="s">
        <v>41</v>
      </c>
      <c r="D17" s="12">
        <v>320</v>
      </c>
      <c r="E17" s="1"/>
      <c r="F17" s="90">
        <v>8385356868</v>
      </c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>
        <v>45793</v>
      </c>
      <c r="B21" s="1" t="s">
        <v>27</v>
      </c>
      <c r="C21" s="1" t="s">
        <v>43</v>
      </c>
      <c r="D21" s="12">
        <v>0</v>
      </c>
      <c r="E21" s="1"/>
      <c r="F21" s="89">
        <v>25051609043460</v>
      </c>
      <c r="G21" s="1"/>
      <c r="H21" s="1"/>
      <c r="I21" s="1"/>
      <c r="J21" s="18"/>
      <c r="K21" s="1"/>
      <c r="L21" s="1"/>
      <c r="M21" s="1"/>
      <c r="N21" s="1"/>
    </row>
    <row r="22" spans="1:14" ht="18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101"/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45793</v>
      </c>
      <c r="B23" s="1" t="s">
        <v>51</v>
      </c>
      <c r="C23" s="1" t="s">
        <v>932</v>
      </c>
      <c r="D23">
        <v>100</v>
      </c>
      <c r="E23" s="1"/>
      <c r="F23" s="84">
        <v>611698010130314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82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93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3232.04</v>
      </c>
      <c r="E28" s="1"/>
      <c r="F28" s="65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7161.7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3929.66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982.41499999999996</v>
      </c>
      <c r="D35" s="12" t="s">
        <v>1363</v>
      </c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F37" s="66"/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D6DA-BDF7-41BA-AF26-2B8CB6C82811}">
  <dimension ref="A1:S48"/>
  <sheetViews>
    <sheetView workbookViewId="0">
      <selection activeCell="I12" sqref="I1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6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1547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45807</v>
      </c>
      <c r="B3" s="7" t="s">
        <v>6</v>
      </c>
      <c r="C3" s="1" t="s">
        <v>359</v>
      </c>
      <c r="D3" s="8">
        <v>1208.8900000000001</v>
      </c>
      <c r="E3" s="9"/>
      <c r="F3" s="110" t="s">
        <v>1548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 t="s">
        <v>9</v>
      </c>
      <c r="B4" s="7" t="s">
        <v>6</v>
      </c>
      <c r="C4" s="1" t="s">
        <v>1427</v>
      </c>
      <c r="D4" s="8">
        <v>0</v>
      </c>
      <c r="E4" s="9"/>
      <c r="F4" s="106"/>
      <c r="G4" s="11"/>
      <c r="H4" s="11"/>
      <c r="I4" s="11"/>
      <c r="J4" s="58"/>
      <c r="K4" s="11"/>
      <c r="L4" s="11"/>
      <c r="M4" s="11"/>
      <c r="N4" s="11"/>
    </row>
    <row r="5" spans="1:19" ht="15.75">
      <c r="A5" s="51">
        <v>45807</v>
      </c>
      <c r="B5" s="7" t="s">
        <v>10</v>
      </c>
      <c r="C5" s="1" t="s">
        <v>1428</v>
      </c>
      <c r="D5" s="12">
        <v>248.84</v>
      </c>
      <c r="E5" s="9"/>
      <c r="F5" s="106"/>
      <c r="G5" s="11"/>
      <c r="H5" s="11"/>
      <c r="I5" s="59"/>
      <c r="J5" s="19"/>
      <c r="K5" s="11"/>
      <c r="L5" s="11"/>
      <c r="M5" s="11"/>
      <c r="N5" s="11"/>
    </row>
    <row r="6" spans="1:19">
      <c r="A6" s="51" t="s">
        <v>9</v>
      </c>
      <c r="B6" s="56" t="s">
        <v>581</v>
      </c>
      <c r="C6" s="1" t="s">
        <v>1422</v>
      </c>
      <c r="D6" s="12">
        <v>0</v>
      </c>
      <c r="E6" s="9"/>
      <c r="F6" s="106"/>
      <c r="G6" s="16"/>
      <c r="H6" s="7"/>
      <c r="I6" s="96"/>
      <c r="J6" s="17"/>
      <c r="K6" s="7"/>
      <c r="L6" s="7"/>
      <c r="M6" s="7"/>
      <c r="N6" s="7"/>
    </row>
    <row r="7" spans="1:19">
      <c r="A7" s="51">
        <v>45821</v>
      </c>
      <c r="B7" s="7" t="s">
        <v>1503</v>
      </c>
      <c r="C7" s="1" t="s">
        <v>16</v>
      </c>
      <c r="D7" s="12">
        <v>126</v>
      </c>
      <c r="E7" s="12"/>
      <c r="F7" s="110" t="s">
        <v>1550</v>
      </c>
      <c r="H7" s="7"/>
      <c r="I7" s="96"/>
      <c r="J7" s="17"/>
      <c r="K7" s="7"/>
      <c r="L7" s="7"/>
      <c r="M7" s="7"/>
      <c r="N7" s="7"/>
    </row>
    <row r="8" spans="1:19">
      <c r="A8" s="85">
        <v>45821</v>
      </c>
      <c r="B8" s="7" t="s">
        <v>21</v>
      </c>
      <c r="C8" s="1" t="s">
        <v>23</v>
      </c>
      <c r="D8" s="12">
        <v>395.76</v>
      </c>
      <c r="E8" s="9"/>
      <c r="F8" s="110">
        <v>139334868</v>
      </c>
      <c r="H8" s="11"/>
      <c r="I8" s="11"/>
      <c r="J8" s="19"/>
      <c r="K8" s="11"/>
      <c r="L8" s="11"/>
      <c r="M8" s="11"/>
      <c r="N8" s="11"/>
    </row>
    <row r="9" spans="1:19">
      <c r="A9" s="85">
        <v>45816</v>
      </c>
      <c r="B9" s="7" t="s">
        <v>21</v>
      </c>
      <c r="C9" s="1" t="s">
        <v>25</v>
      </c>
      <c r="D9" s="12">
        <v>35</v>
      </c>
      <c r="E9" s="16"/>
      <c r="F9" s="110" t="s">
        <v>1549</v>
      </c>
      <c r="G9" s="11"/>
      <c r="H9" s="11"/>
      <c r="I9" s="11"/>
      <c r="J9" s="19"/>
      <c r="K9" s="11"/>
      <c r="L9" s="11"/>
      <c r="M9" s="11"/>
      <c r="N9" s="11"/>
    </row>
    <row r="10" spans="1:19">
      <c r="A10" s="51">
        <v>45821</v>
      </c>
      <c r="B10" s="7" t="s">
        <v>31</v>
      </c>
      <c r="C10" s="1" t="s">
        <v>1305</v>
      </c>
      <c r="D10" s="12">
        <v>66.45</v>
      </c>
      <c r="E10" s="9"/>
      <c r="F10" s="110"/>
      <c r="G10" s="20"/>
      <c r="H10" s="11"/>
      <c r="I10" s="11"/>
      <c r="J10" s="19"/>
      <c r="K10" s="11"/>
      <c r="L10" s="11"/>
      <c r="M10" s="11"/>
      <c r="N10" s="11"/>
    </row>
    <row r="11" spans="1:19">
      <c r="A11" s="51">
        <v>45821</v>
      </c>
      <c r="B11" s="7" t="s">
        <v>863</v>
      </c>
      <c r="C11" s="1" t="s">
        <v>864</v>
      </c>
      <c r="D11" s="12">
        <v>479</v>
      </c>
      <c r="E11" s="12"/>
      <c r="F11" s="107" t="s">
        <v>1554</v>
      </c>
      <c r="G11" s="35"/>
      <c r="H11" s="1"/>
      <c r="I11" s="8"/>
      <c r="J11" s="18"/>
      <c r="K11" s="1"/>
      <c r="L11" s="1"/>
      <c r="M11" s="1"/>
      <c r="N11" s="1"/>
    </row>
    <row r="12" spans="1:19">
      <c r="A12" s="51">
        <v>45821</v>
      </c>
      <c r="B12" s="7" t="s">
        <v>367</v>
      </c>
      <c r="C12" s="1" t="s">
        <v>35</v>
      </c>
      <c r="D12" s="12">
        <v>161</v>
      </c>
      <c r="E12" s="9"/>
      <c r="F12" s="110">
        <v>23499940</v>
      </c>
      <c r="G12" s="7"/>
      <c r="H12" s="7"/>
      <c r="I12" s="7"/>
      <c r="J12" s="17"/>
      <c r="K12" s="7"/>
      <c r="L12" s="7"/>
      <c r="M12" s="7"/>
      <c r="N12" s="7"/>
    </row>
    <row r="13" spans="1:19">
      <c r="A13" s="51" t="s">
        <v>9</v>
      </c>
      <c r="B13" s="97" t="s">
        <v>1531</v>
      </c>
      <c r="C13" s="94" t="s">
        <v>1277</v>
      </c>
      <c r="D13" s="12">
        <v>0</v>
      </c>
      <c r="E13" s="9"/>
      <c r="F13" s="108"/>
      <c r="G13" s="7"/>
      <c r="H13" s="7"/>
      <c r="I13" s="7"/>
      <c r="J13" s="17"/>
      <c r="K13" s="7"/>
      <c r="L13" s="7"/>
      <c r="M13" s="7"/>
      <c r="N13" s="7"/>
    </row>
    <row r="14" spans="1:19">
      <c r="A14" s="52">
        <v>45831</v>
      </c>
      <c r="B14" s="7" t="s">
        <v>1257</v>
      </c>
      <c r="C14" s="1" t="s">
        <v>1254</v>
      </c>
      <c r="D14" s="12">
        <v>79.989999999999995</v>
      </c>
      <c r="E14" s="1"/>
      <c r="F14" s="108"/>
      <c r="G14" s="1"/>
      <c r="H14" s="1"/>
      <c r="I14" s="1"/>
      <c r="J14" s="18"/>
      <c r="K14" s="1"/>
      <c r="L14" s="1"/>
      <c r="M14" s="1"/>
      <c r="N14" s="1"/>
    </row>
    <row r="15" spans="1:19">
      <c r="A15" s="52"/>
      <c r="B15" s="1"/>
      <c r="C15" s="1"/>
      <c r="D15" s="12">
        <v>0</v>
      </c>
      <c r="E15" s="1"/>
      <c r="F15" s="108"/>
      <c r="G15" s="1"/>
      <c r="H15" s="68"/>
      <c r="I15" s="1"/>
      <c r="J15" s="18"/>
      <c r="K15" s="98"/>
      <c r="L15" s="1"/>
      <c r="M15" s="1"/>
      <c r="N15" s="1"/>
      <c r="S15" s="104"/>
    </row>
    <row r="16" spans="1:19">
      <c r="A16" s="52"/>
      <c r="B16" s="1"/>
      <c r="C16" s="22" t="s">
        <v>37</v>
      </c>
      <c r="D16" s="1"/>
      <c r="E16" s="1"/>
      <c r="F16" s="108"/>
      <c r="G16" s="1"/>
      <c r="H16" s="1"/>
      <c r="I16" s="1"/>
      <c r="J16" s="18"/>
      <c r="K16" s="1"/>
      <c r="L16" s="1"/>
      <c r="M16" s="1"/>
      <c r="N16" s="1"/>
    </row>
    <row r="17" spans="1:14">
      <c r="A17" s="52">
        <v>45814</v>
      </c>
      <c r="B17" s="1" t="s">
        <v>1255</v>
      </c>
      <c r="C17" s="88" t="s">
        <v>41</v>
      </c>
      <c r="D17" s="12">
        <v>320</v>
      </c>
      <c r="E17" s="1"/>
      <c r="F17" s="110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258</v>
      </c>
      <c r="D18" s="12">
        <v>0</v>
      </c>
      <c r="E18" s="1"/>
      <c r="F18" s="108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110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110"/>
      <c r="H20" s="1"/>
      <c r="I20" s="1"/>
      <c r="J20" s="18"/>
      <c r="K20" s="1"/>
      <c r="L20" s="1"/>
      <c r="M20" s="1"/>
      <c r="N20" s="1"/>
    </row>
    <row r="21" spans="1:14">
      <c r="A21" s="53">
        <v>45821</v>
      </c>
      <c r="B21" s="1" t="s">
        <v>27</v>
      </c>
      <c r="C21" s="1" t="s">
        <v>43</v>
      </c>
      <c r="D21" s="12">
        <v>0</v>
      </c>
      <c r="E21" s="1"/>
      <c r="F21" s="110">
        <v>25061312836937</v>
      </c>
      <c r="G21" s="1"/>
      <c r="H21" s="1"/>
      <c r="I21" s="1"/>
      <c r="J21" s="18"/>
      <c r="K21" s="1"/>
      <c r="L21" s="1"/>
      <c r="M21" s="1"/>
      <c r="N21" s="1"/>
    </row>
    <row r="22" spans="1:14">
      <c r="A22" s="53">
        <v>45821</v>
      </c>
      <c r="B22" s="1" t="s">
        <v>51</v>
      </c>
      <c r="C22" s="1" t="s">
        <v>1312</v>
      </c>
      <c r="D22" s="12">
        <v>0</v>
      </c>
      <c r="E22" s="1"/>
      <c r="F22" s="110" t="s">
        <v>1551</v>
      </c>
      <c r="G22" s="1"/>
      <c r="H22" s="1"/>
      <c r="I22" s="1"/>
      <c r="J22" s="18"/>
      <c r="K22" s="1"/>
      <c r="L22" s="48"/>
      <c r="M22" s="1"/>
      <c r="N22" s="1"/>
    </row>
    <row r="23" spans="1:14">
      <c r="A23" s="53">
        <v>45821</v>
      </c>
      <c r="B23" s="1" t="s">
        <v>51</v>
      </c>
      <c r="C23" s="1" t="s">
        <v>932</v>
      </c>
      <c r="D23">
        <v>100</v>
      </c>
      <c r="E23" s="1"/>
      <c r="F23" s="110">
        <v>631722141807672</v>
      </c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108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110"/>
      <c r="G25" s="1"/>
      <c r="H25" s="1"/>
      <c r="I25" s="1"/>
      <c r="J25" s="18"/>
      <c r="K25" s="1"/>
      <c r="L25" s="1"/>
      <c r="M25" s="1"/>
      <c r="N25" s="1"/>
    </row>
    <row r="26" spans="1:14">
      <c r="A26" s="53">
        <v>45821</v>
      </c>
      <c r="B26" s="1" t="s">
        <v>34</v>
      </c>
      <c r="C26" s="1" t="s">
        <v>1313</v>
      </c>
      <c r="D26" s="12">
        <v>0</v>
      </c>
      <c r="E26" s="1"/>
      <c r="F26" s="110" t="s">
        <v>1552</v>
      </c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06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3220.93</v>
      </c>
      <c r="E28" s="1"/>
      <c r="F28" s="108"/>
      <c r="G28" s="18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108"/>
      <c r="G29" s="1"/>
      <c r="H29" s="1"/>
      <c r="I29" s="9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108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0</v>
      </c>
      <c r="E31" s="30"/>
      <c r="F31" s="108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-3220.93</v>
      </c>
      <c r="E32" s="32"/>
      <c r="F32" s="108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109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109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-805.23249999999996</v>
      </c>
      <c r="D35" s="12" t="s">
        <v>1363</v>
      </c>
      <c r="E35" s="12"/>
      <c r="F35" s="109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91"/>
      <c r="L36" s="1"/>
      <c r="M36" s="1"/>
      <c r="N36" s="1"/>
    </row>
    <row r="37" spans="2:14">
      <c r="K37" s="92"/>
    </row>
    <row r="39" spans="2:14">
      <c r="B39" s="1"/>
      <c r="C39" s="34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/>
      <c r="D42" s="12"/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0A27-8A90-48F4-9538-886EC8A02775}">
  <dimension ref="A1:S47"/>
  <sheetViews>
    <sheetView workbookViewId="0">
      <selection activeCell="A14" sqref="A1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6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1553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45835</v>
      </c>
      <c r="B3" s="7" t="s">
        <v>6</v>
      </c>
      <c r="C3" s="1" t="s">
        <v>359</v>
      </c>
      <c r="D3" s="8">
        <v>1208.8900000000001</v>
      </c>
      <c r="E3" s="9"/>
      <c r="F3" s="110" t="s">
        <v>1555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>
        <v>45835</v>
      </c>
      <c r="B4" s="7" t="s">
        <v>10</v>
      </c>
      <c r="C4" s="1" t="s">
        <v>1428</v>
      </c>
      <c r="D4" s="12">
        <v>243.28</v>
      </c>
      <c r="E4" s="9"/>
      <c r="F4" s="106"/>
      <c r="G4" s="11"/>
      <c r="H4" s="11"/>
      <c r="I4" s="59"/>
      <c r="J4" s="19"/>
      <c r="K4" s="11"/>
      <c r="L4" s="11"/>
      <c r="M4" s="11"/>
      <c r="N4" s="11"/>
    </row>
    <row r="5" spans="1:19">
      <c r="A5" s="51" t="s">
        <v>9</v>
      </c>
      <c r="B5" s="56" t="s">
        <v>581</v>
      </c>
      <c r="C5" s="1" t="s">
        <v>1422</v>
      </c>
      <c r="D5" s="12">
        <v>0</v>
      </c>
      <c r="E5" s="9"/>
      <c r="F5" s="106"/>
      <c r="G5" s="16"/>
      <c r="H5" s="7"/>
      <c r="I5" s="96"/>
      <c r="J5" s="17"/>
      <c r="K5" s="7"/>
      <c r="L5" s="7"/>
      <c r="M5" s="7"/>
      <c r="N5" s="7"/>
    </row>
    <row r="6" spans="1:19">
      <c r="A6" s="51">
        <v>45849</v>
      </c>
      <c r="B6" s="7" t="s">
        <v>1503</v>
      </c>
      <c r="C6" s="1" t="s">
        <v>16</v>
      </c>
      <c r="D6" s="12">
        <v>126</v>
      </c>
      <c r="E6" s="12"/>
      <c r="F6" s="110" t="s">
        <v>1556</v>
      </c>
      <c r="H6" s="7"/>
      <c r="I6" s="96"/>
      <c r="J6" s="17"/>
      <c r="K6" s="7"/>
      <c r="L6" s="7"/>
      <c r="M6" s="7"/>
      <c r="N6" s="7"/>
    </row>
    <row r="7" spans="1:19">
      <c r="A7" s="85">
        <v>45849</v>
      </c>
      <c r="B7" s="7" t="s">
        <v>21</v>
      </c>
      <c r="C7" s="1" t="s">
        <v>23</v>
      </c>
      <c r="D7" s="12">
        <v>395.76</v>
      </c>
      <c r="E7" s="9"/>
      <c r="F7" s="110">
        <v>140718276</v>
      </c>
      <c r="H7" s="11"/>
      <c r="I7" s="11"/>
      <c r="J7" s="19"/>
      <c r="K7" s="11"/>
      <c r="L7" s="11"/>
      <c r="M7" s="11"/>
      <c r="N7" s="11"/>
    </row>
    <row r="8" spans="1:19">
      <c r="A8" s="85" t="s">
        <v>9</v>
      </c>
      <c r="B8" s="7" t="s">
        <v>21</v>
      </c>
      <c r="C8" s="1" t="s">
        <v>25</v>
      </c>
      <c r="D8" s="12">
        <v>35</v>
      </c>
      <c r="E8" s="16"/>
      <c r="F8" s="110"/>
      <c r="G8" s="11"/>
      <c r="H8" s="11"/>
      <c r="I8" s="11"/>
      <c r="J8" s="19"/>
      <c r="K8" s="11"/>
      <c r="L8" s="11"/>
      <c r="M8" s="11"/>
      <c r="N8" s="11"/>
    </row>
    <row r="9" spans="1:19">
      <c r="A9" s="51">
        <v>45849</v>
      </c>
      <c r="B9" s="7" t="s">
        <v>31</v>
      </c>
      <c r="C9" s="1" t="s">
        <v>1305</v>
      </c>
      <c r="D9" s="12">
        <v>66.45</v>
      </c>
      <c r="E9" s="9"/>
      <c r="F9" s="110" t="s">
        <v>1559</v>
      </c>
      <c r="G9" s="20"/>
      <c r="H9" s="11"/>
      <c r="I9" s="11"/>
      <c r="J9" s="19"/>
      <c r="K9" s="11"/>
      <c r="L9" s="11"/>
      <c r="M9" s="11"/>
      <c r="N9" s="11"/>
    </row>
    <row r="10" spans="1:19">
      <c r="A10" s="51">
        <v>45858</v>
      </c>
      <c r="B10" s="7" t="s">
        <v>863</v>
      </c>
      <c r="C10" s="1" t="s">
        <v>864</v>
      </c>
      <c r="D10" s="12">
        <v>479</v>
      </c>
      <c r="E10" s="12"/>
      <c r="F10" s="107" t="s">
        <v>1561</v>
      </c>
      <c r="G10" s="35"/>
      <c r="H10" s="1"/>
      <c r="I10" s="8"/>
      <c r="J10" s="18"/>
      <c r="K10" s="1"/>
      <c r="L10" s="1"/>
      <c r="M10" s="1"/>
      <c r="N10" s="1"/>
    </row>
    <row r="11" spans="1:19">
      <c r="A11" s="51">
        <v>45863</v>
      </c>
      <c r="B11" s="7" t="s">
        <v>367</v>
      </c>
      <c r="C11" s="1" t="s">
        <v>35</v>
      </c>
      <c r="D11" s="12">
        <v>161</v>
      </c>
      <c r="E11" s="9"/>
      <c r="F11" s="110">
        <v>28342383</v>
      </c>
      <c r="G11" s="7"/>
      <c r="H11" s="7"/>
      <c r="I11" s="7"/>
      <c r="J11" s="17"/>
      <c r="K11" s="7"/>
      <c r="L11" s="7"/>
      <c r="M11" s="7"/>
      <c r="N11" s="7"/>
    </row>
    <row r="12" spans="1:19">
      <c r="A12" s="51" t="s">
        <v>9</v>
      </c>
      <c r="B12" s="97" t="s">
        <v>1531</v>
      </c>
      <c r="C12" s="94" t="s">
        <v>1277</v>
      </c>
      <c r="D12" s="12">
        <v>0</v>
      </c>
      <c r="E12" s="9"/>
      <c r="F12" s="108"/>
      <c r="G12" s="7"/>
      <c r="H12" s="7"/>
      <c r="I12" s="7"/>
      <c r="J12" s="17"/>
      <c r="K12" s="7"/>
      <c r="L12" s="7"/>
      <c r="M12" s="7"/>
      <c r="N12" s="7"/>
    </row>
    <row r="13" spans="1:19">
      <c r="A13" s="52">
        <v>45863</v>
      </c>
      <c r="B13" s="7" t="s">
        <v>1257</v>
      </c>
      <c r="C13" s="1" t="s">
        <v>1254</v>
      </c>
      <c r="D13" s="12">
        <v>79.989999999999995</v>
      </c>
      <c r="E13" s="1"/>
      <c r="F13" s="108" t="s">
        <v>1208</v>
      </c>
      <c r="G13" s="1"/>
      <c r="H13" s="1"/>
      <c r="I13" s="1"/>
      <c r="J13" s="18"/>
      <c r="K13" s="1"/>
      <c r="L13" s="1"/>
      <c r="M13" s="1"/>
      <c r="N13" s="1"/>
    </row>
    <row r="14" spans="1:19">
      <c r="A14" s="52"/>
      <c r="B14" s="1"/>
      <c r="C14" s="1"/>
      <c r="D14" s="12">
        <v>0</v>
      </c>
      <c r="E14" s="1"/>
      <c r="F14" s="108"/>
      <c r="G14" s="1"/>
      <c r="H14" s="68"/>
      <c r="I14" s="1"/>
      <c r="J14" s="18"/>
      <c r="K14" s="98"/>
      <c r="L14" s="1"/>
      <c r="M14" s="1"/>
      <c r="N14" s="1"/>
      <c r="S14" s="104"/>
    </row>
    <row r="15" spans="1:19">
      <c r="A15" s="52"/>
      <c r="B15" s="1"/>
      <c r="C15" s="22" t="s">
        <v>37</v>
      </c>
      <c r="D15" s="1"/>
      <c r="E15" s="1"/>
      <c r="F15" s="108"/>
      <c r="G15" s="1"/>
      <c r="H15" s="1"/>
      <c r="I15" s="1"/>
      <c r="J15" s="18"/>
      <c r="K15" s="1"/>
      <c r="L15" s="1"/>
      <c r="M15" s="1"/>
      <c r="N15" s="1"/>
    </row>
    <row r="16" spans="1:19">
      <c r="A16" s="52">
        <v>45841</v>
      </c>
      <c r="B16" s="1" t="s">
        <v>1255</v>
      </c>
      <c r="C16" s="88" t="s">
        <v>41</v>
      </c>
      <c r="D16" s="12">
        <v>200</v>
      </c>
      <c r="E16" s="1"/>
      <c r="F16" s="110" t="s">
        <v>1560</v>
      </c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108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110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110"/>
      <c r="H19" s="1"/>
      <c r="I19" s="1"/>
      <c r="J19" s="18"/>
      <c r="K19" s="1"/>
      <c r="L19" s="1"/>
      <c r="M19" s="1"/>
      <c r="N19" s="1"/>
    </row>
    <row r="20" spans="1:14">
      <c r="A20" s="53">
        <v>45849</v>
      </c>
      <c r="B20" s="1" t="s">
        <v>27</v>
      </c>
      <c r="C20" s="1" t="s">
        <v>43</v>
      </c>
      <c r="D20" s="12">
        <v>0</v>
      </c>
      <c r="E20" s="1"/>
      <c r="F20" s="110">
        <v>25071116847834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45849</v>
      </c>
      <c r="B21" s="1" t="s">
        <v>51</v>
      </c>
      <c r="C21" s="1" t="s">
        <v>1312</v>
      </c>
      <c r="D21" s="12">
        <v>0</v>
      </c>
      <c r="E21" s="1"/>
      <c r="F21" s="110" t="s">
        <v>1557</v>
      </c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110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108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110"/>
      <c r="G24" s="1"/>
      <c r="H24" s="1"/>
      <c r="I24" s="1"/>
      <c r="J24" s="18"/>
      <c r="K24" s="1"/>
      <c r="L24" s="1"/>
      <c r="M24" s="1"/>
      <c r="N24" s="1"/>
    </row>
    <row r="25" spans="1:14">
      <c r="A25" s="53">
        <v>45849</v>
      </c>
      <c r="B25" s="1" t="s">
        <v>34</v>
      </c>
      <c r="C25" s="1" t="s">
        <v>1313</v>
      </c>
      <c r="D25" s="12">
        <v>0</v>
      </c>
      <c r="E25" s="1"/>
      <c r="F25" s="110" t="s">
        <v>1558</v>
      </c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06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2995.37</v>
      </c>
      <c r="E27" s="1"/>
      <c r="F27" s="108"/>
      <c r="G27" s="18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08"/>
      <c r="G28" s="1"/>
      <c r="H28" s="1"/>
      <c r="I28" s="9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108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0</v>
      </c>
      <c r="E30" s="30"/>
      <c r="F30" s="108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-2995.37</v>
      </c>
      <c r="E31" s="32"/>
      <c r="F31" s="108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109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109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-748.84249999999997</v>
      </c>
      <c r="D34" s="12" t="s">
        <v>1363</v>
      </c>
      <c r="E34" s="12"/>
      <c r="F34" s="109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2D3A-9B9B-4346-A00B-B39C9AC2645F}">
  <dimension ref="A1:S47"/>
  <sheetViews>
    <sheetView workbookViewId="0">
      <selection activeCell="F37" sqref="F37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6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1562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45867</v>
      </c>
      <c r="B3" s="7" t="s">
        <v>6</v>
      </c>
      <c r="C3" s="1" t="s">
        <v>359</v>
      </c>
      <c r="D3" s="8">
        <v>1208.8900000000001</v>
      </c>
      <c r="E3" s="9"/>
      <c r="F3" s="110" t="s">
        <v>1563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>
        <v>45867</v>
      </c>
      <c r="B4" s="7" t="s">
        <v>10</v>
      </c>
      <c r="C4" s="1" t="s">
        <v>1428</v>
      </c>
      <c r="D4" s="12">
        <v>243.28</v>
      </c>
      <c r="E4" s="9"/>
      <c r="F4" s="106" t="s">
        <v>1239</v>
      </c>
      <c r="G4" s="11"/>
      <c r="H4" s="11"/>
      <c r="I4" s="59"/>
      <c r="J4" s="19"/>
      <c r="K4" s="11"/>
      <c r="L4" s="11"/>
      <c r="M4" s="11"/>
      <c r="N4" s="11"/>
    </row>
    <row r="5" spans="1:19">
      <c r="A5" s="51" t="s">
        <v>9</v>
      </c>
      <c r="B5" s="56" t="s">
        <v>581</v>
      </c>
      <c r="C5" s="1" t="s">
        <v>1422</v>
      </c>
      <c r="D5" s="12">
        <v>0</v>
      </c>
      <c r="E5" s="9"/>
      <c r="F5" s="106"/>
      <c r="G5" s="16"/>
      <c r="H5" s="7"/>
      <c r="I5" s="96"/>
      <c r="J5" s="17"/>
      <c r="K5" s="7"/>
      <c r="L5" s="7"/>
      <c r="M5" s="7"/>
      <c r="N5" s="7"/>
    </row>
    <row r="6" spans="1:19">
      <c r="A6" s="51">
        <v>45877</v>
      </c>
      <c r="B6" s="7" t="s">
        <v>1503</v>
      </c>
      <c r="C6" s="1" t="s">
        <v>16</v>
      </c>
      <c r="D6" s="12">
        <v>126</v>
      </c>
      <c r="E6" s="12"/>
      <c r="F6" s="110" t="s">
        <v>1564</v>
      </c>
      <c r="H6" s="7"/>
      <c r="I6" s="96"/>
      <c r="J6" s="17"/>
      <c r="K6" s="7"/>
      <c r="L6" s="7"/>
      <c r="M6" s="7"/>
      <c r="N6" s="7"/>
    </row>
    <row r="7" spans="1:19">
      <c r="A7" s="85">
        <v>45882</v>
      </c>
      <c r="B7" s="7" t="s">
        <v>21</v>
      </c>
      <c r="C7" s="1" t="s">
        <v>23</v>
      </c>
      <c r="D7" s="12">
        <v>395.76</v>
      </c>
      <c r="E7" s="9"/>
      <c r="F7" s="110">
        <v>142291152</v>
      </c>
      <c r="H7" s="11"/>
      <c r="I7" s="11"/>
      <c r="J7" s="19"/>
      <c r="K7" s="11"/>
      <c r="L7" s="11"/>
      <c r="M7" s="11"/>
      <c r="N7" s="11"/>
    </row>
    <row r="8" spans="1:19">
      <c r="A8" s="85">
        <v>45871</v>
      </c>
      <c r="B8" s="7" t="s">
        <v>21</v>
      </c>
      <c r="C8" s="1" t="s">
        <v>25</v>
      </c>
      <c r="D8" s="12">
        <v>35</v>
      </c>
      <c r="E8" s="16"/>
      <c r="F8" s="110" t="s">
        <v>1208</v>
      </c>
      <c r="G8" s="11"/>
      <c r="H8" s="11"/>
      <c r="I8" s="11"/>
      <c r="J8" s="19"/>
      <c r="K8" s="11"/>
      <c r="L8" s="11"/>
      <c r="M8" s="11"/>
      <c r="N8" s="11"/>
    </row>
    <row r="9" spans="1:19">
      <c r="A9" s="51">
        <v>45881</v>
      </c>
      <c r="B9" s="7" t="s">
        <v>31</v>
      </c>
      <c r="C9" s="1" t="s">
        <v>1305</v>
      </c>
      <c r="D9" s="12">
        <v>66.45</v>
      </c>
      <c r="E9" s="9"/>
      <c r="F9" s="110" t="s">
        <v>1208</v>
      </c>
      <c r="G9" s="20"/>
      <c r="H9" s="11"/>
      <c r="I9" s="11"/>
      <c r="J9" s="19"/>
      <c r="K9" s="11"/>
      <c r="L9" s="11"/>
      <c r="M9" s="11"/>
      <c r="N9" s="11"/>
    </row>
    <row r="10" spans="1:19">
      <c r="A10" s="51">
        <v>45884</v>
      </c>
      <c r="B10" s="7" t="s">
        <v>863</v>
      </c>
      <c r="C10" s="1" t="s">
        <v>864</v>
      </c>
      <c r="D10" s="12">
        <v>479</v>
      </c>
      <c r="E10" s="12"/>
      <c r="F10" s="107" t="s">
        <v>1565</v>
      </c>
      <c r="G10" s="35"/>
      <c r="H10" s="1"/>
      <c r="I10" s="8"/>
      <c r="J10" s="18"/>
      <c r="K10" s="1"/>
      <c r="L10" s="1"/>
      <c r="M10" s="1"/>
      <c r="N10" s="1"/>
    </row>
    <row r="11" spans="1:19">
      <c r="A11" s="51">
        <v>45884</v>
      </c>
      <c r="B11" s="7" t="s">
        <v>367</v>
      </c>
      <c r="C11" s="1" t="s">
        <v>35</v>
      </c>
      <c r="D11" s="12">
        <v>161</v>
      </c>
      <c r="E11" s="9"/>
      <c r="F11" s="110">
        <v>30849448</v>
      </c>
      <c r="G11" s="7"/>
      <c r="H11" s="7"/>
      <c r="I11" s="7"/>
      <c r="J11" s="17"/>
      <c r="K11" s="7"/>
      <c r="L11" s="7"/>
      <c r="M11" s="7"/>
      <c r="N11" s="7"/>
    </row>
    <row r="12" spans="1:19">
      <c r="A12" s="51">
        <v>45884</v>
      </c>
      <c r="B12" s="97" t="s">
        <v>1440</v>
      </c>
      <c r="C12" s="94" t="s">
        <v>1277</v>
      </c>
      <c r="D12" s="12">
        <v>0</v>
      </c>
      <c r="E12" s="9"/>
      <c r="F12" s="108" t="s">
        <v>1566</v>
      </c>
      <c r="G12" s="7"/>
      <c r="H12" s="7"/>
      <c r="I12" s="7"/>
      <c r="J12" s="17"/>
      <c r="K12" s="7"/>
      <c r="L12" s="7"/>
      <c r="M12" s="7"/>
      <c r="N12" s="7"/>
    </row>
    <row r="13" spans="1:19">
      <c r="A13" s="52">
        <v>45894</v>
      </c>
      <c r="B13" s="7" t="s">
        <v>1257</v>
      </c>
      <c r="C13" s="1" t="s">
        <v>1254</v>
      </c>
      <c r="D13" s="12">
        <v>69.989999999999995</v>
      </c>
      <c r="E13" s="1"/>
      <c r="F13" s="108" t="s">
        <v>1568</v>
      </c>
      <c r="G13" s="1"/>
      <c r="H13" s="1"/>
      <c r="I13" s="1"/>
      <c r="J13" s="18"/>
      <c r="K13" s="1"/>
      <c r="L13" s="1"/>
      <c r="M13" s="1"/>
      <c r="N13" s="1"/>
    </row>
    <row r="14" spans="1:19">
      <c r="A14" s="52"/>
      <c r="B14" s="1"/>
      <c r="C14" s="1"/>
      <c r="D14" s="12">
        <v>0</v>
      </c>
      <c r="E14" s="1"/>
      <c r="F14" s="108"/>
      <c r="G14" s="1"/>
      <c r="H14" s="68"/>
      <c r="I14" s="1"/>
      <c r="J14" s="18"/>
      <c r="K14" s="98"/>
      <c r="L14" s="1"/>
      <c r="M14" s="1"/>
      <c r="N14" s="1"/>
      <c r="S14" s="104"/>
    </row>
    <row r="15" spans="1:19">
      <c r="A15" s="52"/>
      <c r="B15" s="1"/>
      <c r="C15" s="22" t="s">
        <v>37</v>
      </c>
      <c r="D15" s="1"/>
      <c r="E15" s="1"/>
      <c r="F15" s="108"/>
      <c r="G15" s="1"/>
      <c r="H15" s="1"/>
      <c r="I15" s="1"/>
      <c r="J15" s="18"/>
      <c r="K15" s="1"/>
      <c r="L15" s="1"/>
      <c r="M15" s="1"/>
      <c r="N15" s="1"/>
    </row>
    <row r="16" spans="1:19">
      <c r="A16" s="52">
        <v>45877</v>
      </c>
      <c r="B16" s="1" t="s">
        <v>1255</v>
      </c>
      <c r="C16" s="88" t="s">
        <v>41</v>
      </c>
      <c r="D16" s="12">
        <v>200</v>
      </c>
      <c r="E16" s="1"/>
      <c r="F16" s="110">
        <v>8626549867</v>
      </c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108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110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110"/>
      <c r="H19" s="1"/>
      <c r="I19" s="1"/>
      <c r="J19" s="18"/>
      <c r="K19" s="1"/>
      <c r="L19" s="1"/>
      <c r="M19" s="1"/>
      <c r="N19" s="1"/>
    </row>
    <row r="20" spans="1:14">
      <c r="A20" s="53">
        <v>45882</v>
      </c>
      <c r="B20" s="1" t="s">
        <v>27</v>
      </c>
      <c r="C20" s="1" t="s">
        <v>43</v>
      </c>
      <c r="D20" s="12">
        <v>0</v>
      </c>
      <c r="E20" s="1"/>
      <c r="F20" s="110">
        <v>25081321288895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45881</v>
      </c>
      <c r="B21" s="1" t="s">
        <v>51</v>
      </c>
      <c r="C21" s="1" t="s">
        <v>1312</v>
      </c>
      <c r="D21" s="12">
        <v>0</v>
      </c>
      <c r="E21" s="1"/>
      <c r="F21" s="110"/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110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108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110"/>
      <c r="G24" s="1"/>
      <c r="H24" s="1"/>
      <c r="I24" s="1"/>
      <c r="J24" s="18"/>
      <c r="K24" s="1"/>
      <c r="L24" s="1"/>
      <c r="M24" s="1"/>
      <c r="N24" s="1"/>
    </row>
    <row r="25" spans="1:14">
      <c r="A25" s="53">
        <v>45881</v>
      </c>
      <c r="B25" s="1" t="s">
        <v>34</v>
      </c>
      <c r="C25" s="1" t="s">
        <v>1313</v>
      </c>
      <c r="D25" s="12">
        <v>0</v>
      </c>
      <c r="E25" s="1"/>
      <c r="F25" s="110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06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2985.37</v>
      </c>
      <c r="E27" s="1"/>
      <c r="F27" s="108"/>
      <c r="G27" s="18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08"/>
      <c r="G28" s="1"/>
      <c r="H28" s="1"/>
      <c r="I28" s="9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108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12540</v>
      </c>
      <c r="E30" s="30"/>
      <c r="F30" s="108"/>
      <c r="G30" s="29"/>
      <c r="H30" s="29"/>
      <c r="I30" s="29"/>
      <c r="J30" s="31"/>
      <c r="K30" s="29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9554.630000000001</v>
      </c>
      <c r="E31" s="32"/>
      <c r="F31" s="108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109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109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2388.6575000000003</v>
      </c>
      <c r="D34" s="12" t="s">
        <v>1363</v>
      </c>
      <c r="E34" s="12"/>
      <c r="F34" s="109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DE89-F4F5-442F-9677-59B32C0E8492}">
  <dimension ref="A1:S47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6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1567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45898</v>
      </c>
      <c r="B3" s="7" t="s">
        <v>6</v>
      </c>
      <c r="C3" s="1" t="s">
        <v>359</v>
      </c>
      <c r="D3" s="8">
        <v>1208.8900000000001</v>
      </c>
      <c r="E3" s="9"/>
      <c r="F3" s="110" t="s">
        <v>1569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>
        <v>45898</v>
      </c>
      <c r="B4" s="7" t="s">
        <v>10</v>
      </c>
      <c r="C4" s="1" t="s">
        <v>1428</v>
      </c>
      <c r="D4" s="12">
        <v>156</v>
      </c>
      <c r="E4" s="9"/>
      <c r="F4" s="106"/>
      <c r="G4" s="11"/>
      <c r="H4" s="11"/>
      <c r="I4" s="59"/>
      <c r="J4" s="19"/>
      <c r="K4" s="11"/>
      <c r="L4" s="11"/>
      <c r="M4" s="11"/>
      <c r="N4" s="11"/>
    </row>
    <row r="5" spans="1:19">
      <c r="A5" s="51" t="s">
        <v>9</v>
      </c>
      <c r="B5" s="56" t="s">
        <v>581</v>
      </c>
      <c r="C5" s="1" t="s">
        <v>1422</v>
      </c>
      <c r="D5" s="12">
        <v>0</v>
      </c>
      <c r="E5" s="9"/>
      <c r="F5" s="106"/>
      <c r="G5" s="16"/>
      <c r="H5" s="7"/>
      <c r="I5" s="96"/>
      <c r="J5" s="17"/>
      <c r="K5" s="7"/>
      <c r="L5" s="7"/>
      <c r="M5" s="7"/>
      <c r="N5" s="7"/>
    </row>
    <row r="6" spans="1:19">
      <c r="A6" s="51">
        <v>45912</v>
      </c>
      <c r="B6" s="7" t="s">
        <v>1503</v>
      </c>
      <c r="C6" s="1" t="s">
        <v>16</v>
      </c>
      <c r="D6" s="12">
        <v>126</v>
      </c>
      <c r="E6" s="12"/>
      <c r="F6" s="110" t="s">
        <v>1570</v>
      </c>
      <c r="H6" s="7"/>
      <c r="I6" s="96"/>
      <c r="J6" s="17"/>
      <c r="K6" s="7"/>
      <c r="L6" s="7"/>
      <c r="M6" s="7"/>
      <c r="N6" s="7"/>
    </row>
    <row r="7" spans="1:19">
      <c r="A7" s="85">
        <v>45913</v>
      </c>
      <c r="B7" s="7" t="s">
        <v>21</v>
      </c>
      <c r="C7" s="1" t="s">
        <v>23</v>
      </c>
      <c r="D7" s="12">
        <v>395.76</v>
      </c>
      <c r="E7" s="9"/>
      <c r="F7" s="110">
        <v>143836486</v>
      </c>
      <c r="H7" s="11"/>
      <c r="I7" s="11"/>
      <c r="J7" s="19"/>
      <c r="K7" s="11"/>
      <c r="L7" s="11"/>
      <c r="M7" s="11"/>
      <c r="N7" s="11"/>
    </row>
    <row r="8" spans="1:19">
      <c r="A8" s="85" t="s">
        <v>9</v>
      </c>
      <c r="B8" s="7" t="s">
        <v>21</v>
      </c>
      <c r="C8" s="1" t="s">
        <v>25</v>
      </c>
      <c r="D8" s="12">
        <v>35</v>
      </c>
      <c r="E8" s="16"/>
      <c r="F8" s="110"/>
      <c r="G8" s="11"/>
      <c r="H8" s="11"/>
      <c r="I8" s="11"/>
      <c r="J8" s="19"/>
      <c r="K8" s="11"/>
      <c r="L8" s="11"/>
      <c r="M8" s="11"/>
      <c r="N8" s="11"/>
    </row>
    <row r="9" spans="1:19">
      <c r="A9" s="51">
        <v>45913</v>
      </c>
      <c r="B9" s="7" t="s">
        <v>31</v>
      </c>
      <c r="C9" s="1" t="s">
        <v>1305</v>
      </c>
      <c r="D9" s="12">
        <v>66.45</v>
      </c>
      <c r="E9" s="9"/>
      <c r="F9" s="110"/>
      <c r="G9" s="20"/>
      <c r="H9" s="11"/>
      <c r="I9" s="11"/>
      <c r="J9" s="19"/>
      <c r="K9" s="11"/>
      <c r="L9" s="11"/>
      <c r="M9" s="11"/>
      <c r="N9" s="11"/>
    </row>
    <row r="10" spans="1:19">
      <c r="A10" s="51">
        <v>45919</v>
      </c>
      <c r="B10" s="7" t="s">
        <v>863</v>
      </c>
      <c r="C10" s="1" t="s">
        <v>864</v>
      </c>
      <c r="D10" s="12">
        <v>479</v>
      </c>
      <c r="E10" s="12"/>
      <c r="F10" s="107" t="s">
        <v>1573</v>
      </c>
      <c r="G10" s="35"/>
      <c r="H10" s="1"/>
      <c r="I10" s="8"/>
      <c r="J10" s="18"/>
      <c r="K10" s="1"/>
      <c r="L10" s="1"/>
      <c r="M10" s="1"/>
      <c r="N10" s="1"/>
    </row>
    <row r="11" spans="1:19">
      <c r="A11" s="51">
        <v>45918</v>
      </c>
      <c r="B11" s="7" t="s">
        <v>367</v>
      </c>
      <c r="C11" s="1" t="s">
        <v>35</v>
      </c>
      <c r="D11" s="12">
        <v>161</v>
      </c>
      <c r="E11" s="9"/>
      <c r="F11" s="110"/>
      <c r="G11" s="7"/>
      <c r="H11" s="7"/>
      <c r="I11" s="7"/>
      <c r="J11" s="17"/>
      <c r="K11" s="7"/>
      <c r="L11" s="7"/>
      <c r="M11" s="7"/>
      <c r="N11" s="7"/>
    </row>
    <row r="12" spans="1:19">
      <c r="A12" s="51" t="s">
        <v>9</v>
      </c>
      <c r="B12" s="97" t="s">
        <v>1386</v>
      </c>
      <c r="C12" s="94" t="s">
        <v>1277</v>
      </c>
      <c r="D12" s="12">
        <v>0</v>
      </c>
      <c r="E12" s="9"/>
      <c r="F12" s="108"/>
      <c r="G12" s="7"/>
      <c r="H12" s="7"/>
      <c r="I12" s="7"/>
      <c r="J12" s="17"/>
      <c r="K12" s="7"/>
      <c r="L12" s="7"/>
      <c r="M12" s="7"/>
      <c r="N12" s="7"/>
    </row>
    <row r="13" spans="1:19">
      <c r="A13" s="52">
        <v>45919</v>
      </c>
      <c r="B13" s="7" t="s">
        <v>1257</v>
      </c>
      <c r="C13" s="1" t="s">
        <v>1254</v>
      </c>
      <c r="D13" s="12">
        <v>79.989999999999995</v>
      </c>
      <c r="E13" s="1"/>
      <c r="F13" s="108"/>
      <c r="G13" s="1"/>
      <c r="H13" s="1"/>
      <c r="I13" s="1"/>
      <c r="J13" s="18"/>
      <c r="K13" s="1"/>
      <c r="L13" s="1"/>
      <c r="M13" s="1"/>
      <c r="N13" s="1"/>
    </row>
    <row r="14" spans="1:19">
      <c r="A14" s="52"/>
      <c r="B14" s="1"/>
      <c r="C14" s="1"/>
      <c r="D14" s="12">
        <v>0</v>
      </c>
      <c r="E14" s="1"/>
      <c r="F14" s="108"/>
      <c r="G14" s="1"/>
      <c r="H14" s="68"/>
      <c r="I14" s="1"/>
      <c r="J14" s="18"/>
      <c r="K14" s="98"/>
      <c r="L14" s="1"/>
      <c r="M14" s="1"/>
      <c r="N14" s="1"/>
      <c r="S14" s="104"/>
    </row>
    <row r="15" spans="1:19">
      <c r="A15" s="52"/>
      <c r="B15" s="1"/>
      <c r="C15" s="22" t="s">
        <v>37</v>
      </c>
      <c r="D15" s="1"/>
      <c r="E15" s="1"/>
      <c r="F15" s="108"/>
      <c r="G15" s="1"/>
      <c r="H15" s="1"/>
      <c r="I15" s="1"/>
      <c r="J15" s="18"/>
      <c r="K15" s="1"/>
      <c r="L15" s="1"/>
      <c r="M15" s="1"/>
      <c r="N15" s="1"/>
    </row>
    <row r="16" spans="1:19">
      <c r="A16" s="52">
        <v>45898</v>
      </c>
      <c r="B16" s="1" t="s">
        <v>1255</v>
      </c>
      <c r="C16" s="88" t="s">
        <v>41</v>
      </c>
      <c r="D16" s="12">
        <v>200</v>
      </c>
      <c r="E16" s="1"/>
      <c r="F16" s="110">
        <v>8679971850</v>
      </c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108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110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110"/>
      <c r="H19" s="1"/>
      <c r="I19" s="1"/>
      <c r="J19" s="18"/>
      <c r="K19" s="1"/>
      <c r="L19" s="1"/>
      <c r="M19" s="1"/>
      <c r="N19" s="1"/>
    </row>
    <row r="20" spans="1:14">
      <c r="A20" s="53">
        <v>45913</v>
      </c>
      <c r="B20" s="1" t="s">
        <v>27</v>
      </c>
      <c r="C20" s="1" t="s">
        <v>43</v>
      </c>
      <c r="D20" s="12">
        <v>0</v>
      </c>
      <c r="E20" s="1"/>
      <c r="F20" s="110"/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45913</v>
      </c>
      <c r="B21" s="1" t="s">
        <v>51</v>
      </c>
      <c r="C21" s="1" t="s">
        <v>1312</v>
      </c>
      <c r="D21" s="12">
        <v>0</v>
      </c>
      <c r="E21" s="1"/>
      <c r="F21" s="110" t="s">
        <v>1572</v>
      </c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110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108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110"/>
      <c r="G24" s="1"/>
      <c r="H24" s="1"/>
      <c r="I24" s="1"/>
      <c r="J24" s="18"/>
      <c r="K24" s="1"/>
      <c r="L24" s="1"/>
      <c r="M24" s="1"/>
      <c r="N24" s="1"/>
    </row>
    <row r="25" spans="1:14">
      <c r="A25" s="53">
        <v>45913</v>
      </c>
      <c r="B25" s="1" t="s">
        <v>34</v>
      </c>
      <c r="C25" s="1" t="s">
        <v>1313</v>
      </c>
      <c r="D25" s="12">
        <v>0</v>
      </c>
      <c r="E25" s="1"/>
      <c r="F25" s="110" t="s">
        <v>1571</v>
      </c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06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2908.09</v>
      </c>
      <c r="E27" s="1"/>
      <c r="F27" s="108"/>
      <c r="G27" s="18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08"/>
      <c r="G28" s="1"/>
      <c r="H28" s="1"/>
      <c r="I28" s="9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108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11181</v>
      </c>
      <c r="E30" s="30"/>
      <c r="F30" s="108"/>
      <c r="G30" s="29"/>
      <c r="H30" s="29"/>
      <c r="I30" s="29"/>
      <c r="J30" s="31"/>
      <c r="K30" s="31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8272.91</v>
      </c>
      <c r="E31" s="32"/>
      <c r="F31" s="108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109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109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2068.2275</v>
      </c>
      <c r="D34" s="12" t="s">
        <v>1363</v>
      </c>
      <c r="E34" s="12"/>
      <c r="F34" s="109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6163-3E0F-44F8-B7AD-A1E6FC1DB82A}">
  <dimension ref="A1:S47"/>
  <sheetViews>
    <sheetView workbookViewId="0">
      <selection activeCell="F26" sqref="F2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6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1574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45929</v>
      </c>
      <c r="B3" s="7" t="s">
        <v>6</v>
      </c>
      <c r="C3" s="1" t="s">
        <v>359</v>
      </c>
      <c r="D3" s="8">
        <v>1278.8499999999999</v>
      </c>
      <c r="E3" s="9"/>
      <c r="F3" s="110" t="s">
        <v>1575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>
        <v>45930</v>
      </c>
      <c r="B4" s="7" t="s">
        <v>10</v>
      </c>
      <c r="C4" s="1" t="s">
        <v>1428</v>
      </c>
      <c r="D4" s="12">
        <v>156</v>
      </c>
      <c r="E4" s="9"/>
      <c r="F4" s="106" t="s">
        <v>1239</v>
      </c>
      <c r="G4" s="11"/>
      <c r="H4" s="11"/>
      <c r="I4" s="59"/>
      <c r="J4" s="19"/>
      <c r="K4" s="11"/>
      <c r="L4" s="11"/>
      <c r="M4" s="11"/>
      <c r="N4" s="11"/>
    </row>
    <row r="5" spans="1:19">
      <c r="A5" s="51" t="s">
        <v>9</v>
      </c>
      <c r="B5" s="56" t="s">
        <v>581</v>
      </c>
      <c r="C5" s="1" t="s">
        <v>1422</v>
      </c>
      <c r="D5" s="12">
        <v>0</v>
      </c>
      <c r="E5" s="9"/>
      <c r="F5" s="106"/>
      <c r="G5" s="16"/>
      <c r="H5" s="7"/>
      <c r="I5" s="96"/>
      <c r="J5" s="17"/>
      <c r="K5" s="7"/>
      <c r="L5" s="7"/>
      <c r="M5" s="7"/>
      <c r="N5" s="7"/>
    </row>
    <row r="6" spans="1:19">
      <c r="A6" s="51">
        <v>45943</v>
      </c>
      <c r="B6" s="7" t="s">
        <v>1503</v>
      </c>
      <c r="C6" s="1" t="s">
        <v>16</v>
      </c>
      <c r="D6" s="12">
        <v>126</v>
      </c>
      <c r="E6" s="12"/>
      <c r="F6" s="110" t="s">
        <v>1576</v>
      </c>
      <c r="H6" s="7"/>
      <c r="I6" s="96"/>
      <c r="J6" s="17"/>
      <c r="K6" s="7"/>
      <c r="L6" s="7"/>
      <c r="M6" s="7"/>
      <c r="N6" s="7"/>
    </row>
    <row r="7" spans="1:19">
      <c r="A7" s="85">
        <v>45943</v>
      </c>
      <c r="B7" s="7" t="s">
        <v>21</v>
      </c>
      <c r="C7" s="1" t="s">
        <v>23</v>
      </c>
      <c r="D7" s="12">
        <v>395.76</v>
      </c>
      <c r="E7" s="9"/>
      <c r="F7" s="110">
        <v>145299687</v>
      </c>
      <c r="H7" s="11"/>
      <c r="I7" s="11"/>
      <c r="J7" s="19"/>
      <c r="K7" s="11"/>
      <c r="L7" s="11"/>
      <c r="M7" s="11"/>
      <c r="N7" s="11"/>
    </row>
    <row r="8" spans="1:19">
      <c r="A8" s="85">
        <v>45930</v>
      </c>
      <c r="B8" s="7" t="s">
        <v>21</v>
      </c>
      <c r="C8" s="1" t="s">
        <v>25</v>
      </c>
      <c r="D8" s="12">
        <v>35</v>
      </c>
      <c r="E8" s="16"/>
      <c r="F8" s="110"/>
      <c r="G8" s="11"/>
      <c r="H8" s="11"/>
      <c r="I8" s="11"/>
      <c r="J8" s="19"/>
      <c r="K8" s="11"/>
      <c r="L8" s="11"/>
      <c r="M8" s="11"/>
      <c r="N8" s="11"/>
    </row>
    <row r="9" spans="1:19">
      <c r="A9" s="51">
        <v>45943</v>
      </c>
      <c r="B9" s="7" t="s">
        <v>31</v>
      </c>
      <c r="C9" s="1" t="s">
        <v>1305</v>
      </c>
      <c r="D9" s="12">
        <v>66.45</v>
      </c>
      <c r="E9" s="9"/>
      <c r="F9" s="110" t="s">
        <v>1208</v>
      </c>
      <c r="G9" s="20"/>
      <c r="H9" s="11"/>
      <c r="I9" s="11"/>
      <c r="J9" s="19"/>
      <c r="K9" s="11"/>
      <c r="L9" s="11"/>
      <c r="M9" s="11"/>
      <c r="N9" s="11"/>
    </row>
    <row r="10" spans="1:19">
      <c r="A10" s="51">
        <v>45943</v>
      </c>
      <c r="B10" s="7" t="s">
        <v>863</v>
      </c>
      <c r="C10" s="1" t="s">
        <v>864</v>
      </c>
      <c r="D10" s="12">
        <v>479</v>
      </c>
      <c r="E10" s="12"/>
      <c r="F10" s="107" t="s">
        <v>1577</v>
      </c>
      <c r="G10" s="35"/>
      <c r="H10" s="1"/>
      <c r="I10" s="8"/>
      <c r="J10" s="18"/>
      <c r="K10" s="1"/>
      <c r="L10" s="1"/>
      <c r="M10" s="1"/>
      <c r="N10" s="1"/>
    </row>
    <row r="11" spans="1:19">
      <c r="A11" s="51">
        <v>45943</v>
      </c>
      <c r="B11" s="7" t="s">
        <v>367</v>
      </c>
      <c r="C11" s="1" t="s">
        <v>35</v>
      </c>
      <c r="D11" s="12">
        <v>161</v>
      </c>
      <c r="E11" s="9"/>
      <c r="F11" s="110">
        <v>37695346</v>
      </c>
      <c r="G11" s="7"/>
      <c r="H11" s="7"/>
      <c r="I11" s="7"/>
      <c r="J11" s="17"/>
      <c r="K11" s="7"/>
      <c r="L11" s="7"/>
      <c r="M11" s="7"/>
      <c r="N11" s="7"/>
    </row>
    <row r="12" spans="1:19">
      <c r="A12" s="51" t="s">
        <v>9</v>
      </c>
      <c r="B12" s="97" t="s">
        <v>1386</v>
      </c>
      <c r="C12" s="94" t="s">
        <v>1277</v>
      </c>
      <c r="D12" s="12">
        <v>0</v>
      </c>
      <c r="E12" s="9"/>
      <c r="F12" s="108"/>
      <c r="G12" s="7"/>
      <c r="H12" s="7"/>
      <c r="I12" s="7"/>
      <c r="J12" s="17"/>
      <c r="K12" s="7"/>
      <c r="L12" s="7"/>
      <c r="M12" s="7"/>
      <c r="N12" s="7"/>
    </row>
    <row r="13" spans="1:19">
      <c r="A13" s="52">
        <v>45956</v>
      </c>
      <c r="B13" s="7" t="s">
        <v>1257</v>
      </c>
      <c r="C13" s="1" t="s">
        <v>1581</v>
      </c>
      <c r="D13" s="12">
        <v>79.989999999999995</v>
      </c>
      <c r="E13" s="1"/>
      <c r="F13" s="108" t="s">
        <v>1580</v>
      </c>
      <c r="G13" s="1"/>
      <c r="H13" s="1"/>
      <c r="I13" s="1"/>
      <c r="J13" s="18"/>
      <c r="K13" s="1"/>
      <c r="L13" s="1"/>
      <c r="M13" s="1"/>
      <c r="N13" s="1"/>
    </row>
    <row r="14" spans="1:19">
      <c r="A14" s="52"/>
      <c r="B14" s="1"/>
      <c r="C14" s="1"/>
      <c r="D14" s="12">
        <v>0</v>
      </c>
      <c r="E14" s="1"/>
      <c r="F14" s="108"/>
      <c r="G14" s="1"/>
      <c r="H14" s="68"/>
      <c r="I14" s="1"/>
      <c r="J14" s="18"/>
      <c r="K14" s="98"/>
      <c r="L14" s="1"/>
      <c r="M14" s="1"/>
      <c r="N14" s="1"/>
      <c r="S14" s="104"/>
    </row>
    <row r="15" spans="1:19">
      <c r="A15" s="52"/>
      <c r="B15" s="1"/>
      <c r="C15" s="22" t="s">
        <v>37</v>
      </c>
      <c r="D15" s="1"/>
      <c r="E15" s="1"/>
      <c r="F15" s="108"/>
      <c r="G15" s="1"/>
      <c r="H15" s="1"/>
      <c r="I15" s="1"/>
      <c r="J15" s="18"/>
      <c r="K15" s="1"/>
      <c r="L15" s="1"/>
      <c r="M15" s="1"/>
      <c r="N15" s="1"/>
    </row>
    <row r="16" spans="1:19">
      <c r="A16" s="52">
        <v>45930</v>
      </c>
      <c r="B16" s="1" t="s">
        <v>1255</v>
      </c>
      <c r="C16" s="88" t="s">
        <v>41</v>
      </c>
      <c r="D16" s="12">
        <v>200</v>
      </c>
      <c r="E16" s="1"/>
      <c r="F16" s="110">
        <v>8758737594</v>
      </c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108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110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110"/>
      <c r="H19" s="1"/>
      <c r="I19" s="1"/>
      <c r="J19" s="18"/>
      <c r="K19" s="1"/>
      <c r="L19" s="1"/>
      <c r="M19" s="1"/>
      <c r="N19" s="1"/>
    </row>
    <row r="20" spans="1:14">
      <c r="A20" s="53">
        <v>45943</v>
      </c>
      <c r="B20" s="1" t="s">
        <v>27</v>
      </c>
      <c r="C20" s="1" t="s">
        <v>43</v>
      </c>
      <c r="D20" s="12">
        <v>0</v>
      </c>
      <c r="E20" s="1"/>
      <c r="F20" s="110">
        <v>25101329795841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45943</v>
      </c>
      <c r="B21" s="1" t="s">
        <v>51</v>
      </c>
      <c r="C21" s="1" t="s">
        <v>1312</v>
      </c>
      <c r="D21" s="12">
        <v>0</v>
      </c>
      <c r="E21" s="1"/>
      <c r="F21" s="110" t="s">
        <v>1578</v>
      </c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110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108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110"/>
      <c r="G24" s="1"/>
      <c r="H24" s="1"/>
      <c r="I24" s="1"/>
      <c r="J24" s="18"/>
      <c r="K24" s="1"/>
      <c r="L24" s="1"/>
      <c r="M24" s="1"/>
      <c r="N24" s="1"/>
    </row>
    <row r="25" spans="1:14">
      <c r="A25" s="53">
        <v>45943</v>
      </c>
      <c r="B25" s="1" t="s">
        <v>34</v>
      </c>
      <c r="C25" s="1" t="s">
        <v>1313</v>
      </c>
      <c r="D25" s="12">
        <v>0</v>
      </c>
      <c r="E25" s="1"/>
      <c r="F25" s="110" t="s">
        <v>1582</v>
      </c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06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2978.0499999999997</v>
      </c>
      <c r="E27" s="1"/>
      <c r="F27" s="108"/>
      <c r="G27" s="18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08"/>
      <c r="G28" s="1"/>
      <c r="H28" s="1"/>
      <c r="I28" s="9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108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11181</v>
      </c>
      <c r="E30" s="30"/>
      <c r="F30" s="108"/>
      <c r="G30" s="29"/>
      <c r="H30" s="29"/>
      <c r="I30" s="29"/>
      <c r="J30" s="31"/>
      <c r="K30" s="31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8202.9500000000007</v>
      </c>
      <c r="E31" s="32"/>
      <c r="F31" s="108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109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109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2050.7375000000002</v>
      </c>
      <c r="D34" s="12" t="s">
        <v>1363</v>
      </c>
      <c r="E34" s="12"/>
      <c r="F34" s="109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  <pageSetup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07A0-CFBA-4A38-967A-CA67B0A32451}">
  <dimension ref="A1:S47"/>
  <sheetViews>
    <sheetView workbookViewId="0">
      <selection activeCell="C11" sqref="C1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6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1579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45961</v>
      </c>
      <c r="B3" s="7" t="s">
        <v>6</v>
      </c>
      <c r="C3" s="1" t="s">
        <v>359</v>
      </c>
      <c r="D3" s="8">
        <v>1278.8499999999999</v>
      </c>
      <c r="E3" s="9"/>
      <c r="F3" s="110" t="s">
        <v>1583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>
        <v>45961</v>
      </c>
      <c r="B4" s="7" t="s">
        <v>10</v>
      </c>
      <c r="C4" s="1" t="s">
        <v>1428</v>
      </c>
      <c r="D4" s="12">
        <v>156</v>
      </c>
      <c r="E4" s="9"/>
      <c r="F4" s="106" t="s">
        <v>1239</v>
      </c>
      <c r="G4" s="11"/>
      <c r="H4" s="11"/>
      <c r="I4" s="59"/>
      <c r="J4" s="19"/>
      <c r="K4" s="11"/>
      <c r="L4" s="11"/>
      <c r="M4" s="11"/>
      <c r="N4" s="11"/>
    </row>
    <row r="5" spans="1:19">
      <c r="A5" s="51" t="s">
        <v>9</v>
      </c>
      <c r="B5" s="56" t="s">
        <v>581</v>
      </c>
      <c r="C5" s="1" t="s">
        <v>1422</v>
      </c>
      <c r="D5" s="12">
        <v>0</v>
      </c>
      <c r="E5" s="9"/>
      <c r="F5" s="106"/>
      <c r="G5" s="16"/>
      <c r="H5" s="7"/>
      <c r="I5" s="96"/>
      <c r="J5" s="17"/>
      <c r="K5" s="7"/>
      <c r="L5" s="7"/>
      <c r="M5" s="7"/>
      <c r="N5" s="7"/>
    </row>
    <row r="6" spans="1:19">
      <c r="A6" s="51">
        <v>45961</v>
      </c>
      <c r="B6" s="7" t="s">
        <v>1503</v>
      </c>
      <c r="C6" s="1" t="s">
        <v>16</v>
      </c>
      <c r="D6" s="12">
        <v>126</v>
      </c>
      <c r="E6" s="12"/>
      <c r="F6" s="110" t="s">
        <v>1584</v>
      </c>
      <c r="H6" s="7"/>
      <c r="I6" s="96"/>
      <c r="J6" s="17"/>
      <c r="K6" s="7"/>
      <c r="L6" s="7"/>
      <c r="M6" s="7"/>
      <c r="N6" s="7"/>
    </row>
    <row r="7" spans="1:19">
      <c r="A7" s="85">
        <v>45975</v>
      </c>
      <c r="B7" s="7" t="s">
        <v>21</v>
      </c>
      <c r="C7" s="1" t="s">
        <v>23</v>
      </c>
      <c r="D7" s="12">
        <v>395.76</v>
      </c>
      <c r="E7" s="9"/>
      <c r="F7" s="110">
        <v>146858153</v>
      </c>
      <c r="H7" s="11"/>
      <c r="I7" s="11"/>
      <c r="J7" s="19"/>
      <c r="K7" s="11"/>
      <c r="L7" s="11"/>
      <c r="M7" s="11"/>
      <c r="N7" s="11"/>
    </row>
    <row r="8" spans="1:19">
      <c r="A8" s="85" t="s">
        <v>9</v>
      </c>
      <c r="B8" s="7" t="s">
        <v>21</v>
      </c>
      <c r="C8" s="1" t="s">
        <v>25</v>
      </c>
      <c r="D8" s="12">
        <v>35</v>
      </c>
      <c r="E8" s="16"/>
      <c r="F8" s="110"/>
      <c r="G8" s="11"/>
      <c r="H8" s="11"/>
      <c r="I8" s="11"/>
      <c r="J8" s="19"/>
      <c r="K8" s="11"/>
      <c r="L8" s="11"/>
      <c r="M8" s="11"/>
      <c r="N8" s="11"/>
    </row>
    <row r="9" spans="1:19">
      <c r="A9" s="51">
        <v>45975</v>
      </c>
      <c r="B9" s="7" t="s">
        <v>31</v>
      </c>
      <c r="C9" s="1" t="s">
        <v>1305</v>
      </c>
      <c r="D9" s="12">
        <v>66.45</v>
      </c>
      <c r="E9" s="9"/>
      <c r="F9" s="110" t="s">
        <v>1208</v>
      </c>
      <c r="G9" s="20"/>
      <c r="H9" s="11"/>
      <c r="I9" s="11"/>
      <c r="J9" s="19"/>
      <c r="K9" s="11"/>
      <c r="L9" s="11"/>
      <c r="M9" s="11"/>
      <c r="N9" s="11"/>
    </row>
    <row r="10" spans="1:19">
      <c r="A10" s="51">
        <v>45975</v>
      </c>
      <c r="B10" s="7" t="s">
        <v>863</v>
      </c>
      <c r="C10" s="1" t="s">
        <v>864</v>
      </c>
      <c r="D10" s="12">
        <v>479</v>
      </c>
      <c r="E10" s="12"/>
      <c r="F10" s="107" t="s">
        <v>1588</v>
      </c>
      <c r="G10" s="35"/>
      <c r="H10" s="1"/>
      <c r="I10" s="8"/>
      <c r="J10" s="18"/>
      <c r="K10" s="1"/>
      <c r="L10" s="1"/>
      <c r="M10" s="1"/>
      <c r="N10" s="1"/>
    </row>
    <row r="11" spans="1:19">
      <c r="A11" s="51">
        <v>45981</v>
      </c>
      <c r="B11" s="7" t="s">
        <v>367</v>
      </c>
      <c r="C11" s="1" t="s">
        <v>1590</v>
      </c>
      <c r="D11" s="12">
        <v>161</v>
      </c>
      <c r="E11" s="9"/>
      <c r="F11" s="110" t="s">
        <v>1589</v>
      </c>
      <c r="G11" s="7"/>
      <c r="H11" s="7"/>
      <c r="I11" s="7"/>
      <c r="J11" s="17"/>
      <c r="K11" s="7"/>
      <c r="L11" s="7"/>
      <c r="M11" s="7"/>
      <c r="N11" s="7"/>
    </row>
    <row r="12" spans="1:19">
      <c r="A12" s="51" t="s">
        <v>9</v>
      </c>
      <c r="B12" s="97" t="s">
        <v>1386</v>
      </c>
      <c r="C12" s="94" t="s">
        <v>1277</v>
      </c>
      <c r="D12" s="12">
        <v>0</v>
      </c>
      <c r="E12" s="9"/>
      <c r="F12" s="108"/>
      <c r="G12" s="7"/>
      <c r="H12" s="7"/>
      <c r="I12" s="7"/>
      <c r="J12" s="17"/>
      <c r="K12" s="7"/>
      <c r="L12" s="7"/>
      <c r="M12" s="7"/>
      <c r="N12" s="7"/>
    </row>
    <row r="13" spans="1:19">
      <c r="A13" s="52">
        <v>45990</v>
      </c>
      <c r="B13" s="7" t="s">
        <v>1257</v>
      </c>
      <c r="C13" s="1" t="s">
        <v>1591</v>
      </c>
      <c r="D13" s="12">
        <v>79.989999999999995</v>
      </c>
      <c r="E13" s="1"/>
      <c r="F13" s="108" t="s">
        <v>1580</v>
      </c>
      <c r="G13" s="1"/>
      <c r="H13" s="1"/>
      <c r="I13" s="1"/>
      <c r="J13" s="18"/>
      <c r="K13" s="1"/>
      <c r="L13" s="1"/>
      <c r="M13" s="1"/>
      <c r="N13" s="1"/>
    </row>
    <row r="14" spans="1:19">
      <c r="A14" s="52"/>
      <c r="B14" s="1"/>
      <c r="C14" s="1"/>
      <c r="D14" s="12">
        <v>0</v>
      </c>
      <c r="E14" s="1"/>
      <c r="F14" s="108"/>
      <c r="G14" s="1"/>
      <c r="H14" s="68"/>
      <c r="I14" s="1"/>
      <c r="J14" s="18"/>
      <c r="K14" s="98"/>
      <c r="L14" s="1"/>
      <c r="M14" s="1"/>
      <c r="N14" s="1"/>
      <c r="S14" s="104"/>
    </row>
    <row r="15" spans="1:19">
      <c r="A15" s="52"/>
      <c r="B15" s="1"/>
      <c r="C15" s="22" t="s">
        <v>37</v>
      </c>
      <c r="D15" s="1"/>
      <c r="E15" s="1"/>
      <c r="F15" s="108"/>
      <c r="G15" s="1"/>
      <c r="H15" s="1"/>
      <c r="I15" s="1"/>
      <c r="J15" s="18"/>
      <c r="K15" s="1"/>
      <c r="L15" s="1"/>
      <c r="M15" s="1"/>
      <c r="N15" s="1"/>
    </row>
    <row r="16" spans="1:19" ht="16.5">
      <c r="A16" s="52">
        <v>45966</v>
      </c>
      <c r="B16" s="1" t="s">
        <v>1255</v>
      </c>
      <c r="C16" s="88" t="s">
        <v>41</v>
      </c>
      <c r="D16" s="12">
        <v>200</v>
      </c>
      <c r="E16" s="1"/>
      <c r="F16" s="111">
        <v>8857155172</v>
      </c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108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110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110"/>
      <c r="H19" s="1"/>
      <c r="I19" s="1"/>
      <c r="J19" s="18"/>
      <c r="K19" s="1"/>
      <c r="L19" s="1"/>
      <c r="M19" s="1"/>
      <c r="N19" s="1"/>
    </row>
    <row r="20" spans="1:14">
      <c r="A20" s="53">
        <v>45975</v>
      </c>
      <c r="B20" s="1" t="s">
        <v>27</v>
      </c>
      <c r="C20" s="1" t="s">
        <v>43</v>
      </c>
      <c r="D20" s="12">
        <v>0</v>
      </c>
      <c r="E20" s="1"/>
      <c r="F20" s="110">
        <v>25111434246497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45971</v>
      </c>
      <c r="B21" s="1" t="s">
        <v>51</v>
      </c>
      <c r="C21" s="1" t="s">
        <v>1312</v>
      </c>
      <c r="D21" s="12">
        <v>0</v>
      </c>
      <c r="E21" s="1"/>
      <c r="F21" s="110" t="s">
        <v>1587</v>
      </c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110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108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110"/>
      <c r="G24" s="1"/>
      <c r="H24" s="1"/>
      <c r="I24" s="1"/>
      <c r="J24" s="18"/>
      <c r="K24" s="1"/>
      <c r="L24" s="1"/>
      <c r="M24" s="1"/>
      <c r="N24" s="1"/>
    </row>
    <row r="25" spans="1:14">
      <c r="A25" s="53">
        <v>45971</v>
      </c>
      <c r="B25" s="1" t="s">
        <v>34</v>
      </c>
      <c r="C25" s="1" t="s">
        <v>1313</v>
      </c>
      <c r="D25" s="12">
        <v>0</v>
      </c>
      <c r="E25" s="1"/>
      <c r="F25" s="110" t="s">
        <v>1586</v>
      </c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06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2978.0499999999997</v>
      </c>
      <c r="E27" s="1"/>
      <c r="F27" s="108"/>
      <c r="G27" s="18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08"/>
      <c r="G28" s="1"/>
      <c r="H28" s="1"/>
      <c r="I28" s="9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108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11181</v>
      </c>
      <c r="E30" s="30"/>
      <c r="F30" s="108"/>
      <c r="G30" s="29"/>
      <c r="H30" s="29"/>
      <c r="I30" s="29"/>
      <c r="J30" s="31"/>
      <c r="K30" s="31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8202.9500000000007</v>
      </c>
      <c r="E31" s="32"/>
      <c r="F31" s="108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109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109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2050.7375000000002</v>
      </c>
      <c r="D34" s="12" t="s">
        <v>1363</v>
      </c>
      <c r="E34" s="12"/>
      <c r="F34" s="109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8FC3-9ED4-4B2F-B807-21B22BBDB1E5}">
  <dimension ref="A1:S47"/>
  <sheetViews>
    <sheetView workbookViewId="0">
      <selection activeCell="A14" sqref="A1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6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1585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45991</v>
      </c>
      <c r="B3" s="7" t="s">
        <v>6</v>
      </c>
      <c r="C3" s="1" t="s">
        <v>359</v>
      </c>
      <c r="D3" s="8">
        <v>1278.8499999999999</v>
      </c>
      <c r="E3" s="9"/>
      <c r="F3" s="110" t="s">
        <v>1592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>
        <v>45992</v>
      </c>
      <c r="B4" s="7" t="s">
        <v>10</v>
      </c>
      <c r="C4" s="1" t="s">
        <v>1428</v>
      </c>
      <c r="D4" s="12">
        <v>156</v>
      </c>
      <c r="E4" s="9"/>
      <c r="F4" s="106" t="s">
        <v>1239</v>
      </c>
      <c r="G4" s="11"/>
      <c r="H4" s="11"/>
      <c r="I4" s="59"/>
      <c r="J4" s="19"/>
      <c r="K4" s="11"/>
      <c r="L4" s="11"/>
      <c r="M4" s="11"/>
      <c r="N4" s="11"/>
    </row>
    <row r="5" spans="1:19">
      <c r="A5" s="51" t="s">
        <v>9</v>
      </c>
      <c r="B5" s="56" t="s">
        <v>581</v>
      </c>
      <c r="C5" s="1" t="s">
        <v>1422</v>
      </c>
      <c r="D5" s="12">
        <v>0</v>
      </c>
      <c r="E5" s="9"/>
      <c r="F5" s="106"/>
      <c r="G5" s="16"/>
      <c r="H5" s="7"/>
      <c r="I5" s="96"/>
      <c r="J5" s="17"/>
      <c r="K5" s="7"/>
      <c r="L5" s="7"/>
      <c r="M5" s="7"/>
      <c r="N5" s="7"/>
    </row>
    <row r="6" spans="1:19">
      <c r="A6" s="51">
        <v>46005</v>
      </c>
      <c r="B6" s="7" t="s">
        <v>1503</v>
      </c>
      <c r="C6" s="1" t="s">
        <v>16</v>
      </c>
      <c r="D6" s="12">
        <v>126</v>
      </c>
      <c r="E6" s="12"/>
      <c r="F6" s="110" t="s">
        <v>1594</v>
      </c>
      <c r="H6" s="7"/>
      <c r="I6" s="96"/>
      <c r="J6" s="17"/>
      <c r="K6" s="7"/>
      <c r="L6" s="7"/>
      <c r="M6" s="7"/>
      <c r="N6" s="7"/>
    </row>
    <row r="7" spans="1:19">
      <c r="A7" s="85">
        <v>46005</v>
      </c>
      <c r="B7" s="7" t="s">
        <v>21</v>
      </c>
      <c r="C7" s="1" t="s">
        <v>23</v>
      </c>
      <c r="D7" s="12">
        <v>395.76</v>
      </c>
      <c r="E7" s="9"/>
      <c r="F7" s="110">
        <v>148354810</v>
      </c>
      <c r="H7" s="11"/>
      <c r="I7" s="11"/>
      <c r="J7" s="19"/>
      <c r="K7" s="11"/>
      <c r="L7" s="11"/>
      <c r="M7" s="11"/>
      <c r="N7" s="11"/>
    </row>
    <row r="8" spans="1:19">
      <c r="A8" s="85">
        <v>45994</v>
      </c>
      <c r="B8" s="7" t="s">
        <v>21</v>
      </c>
      <c r="C8" s="1" t="s">
        <v>25</v>
      </c>
      <c r="D8" s="12">
        <v>35</v>
      </c>
      <c r="E8" s="16"/>
      <c r="F8" s="110" t="s">
        <v>1593</v>
      </c>
      <c r="G8" s="11"/>
      <c r="H8" s="11"/>
      <c r="I8" s="11"/>
      <c r="J8" s="19"/>
      <c r="K8" s="11"/>
      <c r="L8" s="11"/>
      <c r="M8" s="11"/>
      <c r="N8" s="11"/>
    </row>
    <row r="9" spans="1:19">
      <c r="A9" s="51">
        <v>46005</v>
      </c>
      <c r="B9" s="7" t="s">
        <v>31</v>
      </c>
      <c r="C9" s="1" t="s">
        <v>1305</v>
      </c>
      <c r="D9" s="12">
        <v>66.45</v>
      </c>
      <c r="E9" s="9"/>
      <c r="F9" s="110" t="s">
        <v>1208</v>
      </c>
      <c r="G9" s="20"/>
      <c r="H9" s="11"/>
      <c r="I9" s="11"/>
      <c r="J9" s="19"/>
      <c r="K9" s="11"/>
      <c r="L9" s="11"/>
      <c r="M9" s="11"/>
      <c r="N9" s="11"/>
    </row>
    <row r="10" spans="1:19">
      <c r="A10" s="51">
        <v>46005</v>
      </c>
      <c r="B10" s="7" t="s">
        <v>863</v>
      </c>
      <c r="C10" s="1" t="s">
        <v>864</v>
      </c>
      <c r="D10" s="12">
        <v>479</v>
      </c>
      <c r="E10" s="12"/>
      <c r="F10" s="107" t="s">
        <v>1595</v>
      </c>
      <c r="G10" s="35"/>
      <c r="H10" s="1"/>
      <c r="I10" s="8"/>
      <c r="J10" s="18"/>
      <c r="K10" s="1"/>
      <c r="L10" s="1"/>
      <c r="M10" s="1"/>
      <c r="N10" s="1"/>
    </row>
    <row r="11" spans="1:19">
      <c r="A11" s="51">
        <v>46005</v>
      </c>
      <c r="B11" s="7" t="s">
        <v>367</v>
      </c>
      <c r="C11" s="1" t="s">
        <v>35</v>
      </c>
      <c r="D11" s="12">
        <v>161</v>
      </c>
      <c r="E11" s="9"/>
      <c r="F11" s="110"/>
      <c r="G11" s="7"/>
      <c r="H11" s="7"/>
      <c r="I11" s="7"/>
      <c r="J11" s="17"/>
      <c r="K11" s="7"/>
      <c r="L11" s="7"/>
      <c r="M11" s="7"/>
      <c r="N11" s="7"/>
    </row>
    <row r="12" spans="1:19">
      <c r="A12" s="51" t="s">
        <v>9</v>
      </c>
      <c r="B12" s="97" t="s">
        <v>1386</v>
      </c>
      <c r="C12" s="94" t="s">
        <v>1277</v>
      </c>
      <c r="D12" s="12">
        <v>0</v>
      </c>
      <c r="E12" s="9"/>
      <c r="F12" s="108"/>
      <c r="G12" s="7"/>
      <c r="H12" s="7"/>
      <c r="I12" s="7"/>
      <c r="J12" s="17"/>
      <c r="K12" s="7"/>
      <c r="L12" s="7"/>
      <c r="M12" s="7"/>
      <c r="N12" s="7"/>
    </row>
    <row r="13" spans="1:19">
      <c r="A13" s="52">
        <v>46020</v>
      </c>
      <c r="B13" s="7" t="s">
        <v>1257</v>
      </c>
      <c r="C13" s="1" t="s">
        <v>1581</v>
      </c>
      <c r="D13" s="12">
        <v>79.989999999999995</v>
      </c>
      <c r="E13" s="1"/>
      <c r="F13" s="108"/>
      <c r="G13" s="1"/>
      <c r="H13" s="1"/>
      <c r="I13" s="1"/>
      <c r="J13" s="18"/>
      <c r="K13" s="1"/>
      <c r="L13" s="1"/>
      <c r="M13" s="1"/>
      <c r="N13" s="1"/>
    </row>
    <row r="14" spans="1:19">
      <c r="A14" s="52"/>
      <c r="B14" s="1"/>
      <c r="C14" s="1"/>
      <c r="D14" s="12">
        <v>0</v>
      </c>
      <c r="E14" s="1"/>
      <c r="F14" s="108"/>
      <c r="G14" s="1"/>
      <c r="H14" s="68"/>
      <c r="I14" s="1"/>
      <c r="J14" s="18"/>
      <c r="K14" s="98"/>
      <c r="L14" s="1"/>
      <c r="M14" s="1"/>
      <c r="N14" s="1"/>
      <c r="S14" s="104"/>
    </row>
    <row r="15" spans="1:19">
      <c r="A15" s="52"/>
      <c r="B15" s="1"/>
      <c r="C15" s="22" t="s">
        <v>37</v>
      </c>
      <c r="D15" s="1"/>
      <c r="E15" s="1"/>
      <c r="F15" s="108"/>
      <c r="G15" s="1"/>
      <c r="H15" s="1"/>
      <c r="I15" s="1"/>
      <c r="J15" s="18"/>
      <c r="K15" s="1"/>
      <c r="L15" s="1"/>
      <c r="M15" s="1"/>
      <c r="N15" s="1"/>
    </row>
    <row r="16" spans="1:19" ht="16.5">
      <c r="A16" s="52">
        <v>46000</v>
      </c>
      <c r="B16" s="1" t="s">
        <v>1255</v>
      </c>
      <c r="C16" s="88" t="s">
        <v>41</v>
      </c>
      <c r="D16" s="12">
        <v>200</v>
      </c>
      <c r="E16" s="1"/>
      <c r="F16" s="111"/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108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110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110"/>
      <c r="H19" s="1"/>
      <c r="I19" s="1"/>
      <c r="J19" s="18"/>
      <c r="K19" s="1"/>
      <c r="L19" s="1"/>
      <c r="M19" s="1"/>
      <c r="N19" s="1"/>
    </row>
    <row r="20" spans="1:14">
      <c r="A20" s="53">
        <v>46005</v>
      </c>
      <c r="B20" s="1" t="s">
        <v>27</v>
      </c>
      <c r="C20" s="1" t="s">
        <v>43</v>
      </c>
      <c r="D20" s="12">
        <v>0</v>
      </c>
      <c r="E20" s="1"/>
      <c r="F20" s="110">
        <v>25121438663678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46005</v>
      </c>
      <c r="B21" s="1" t="s">
        <v>51</v>
      </c>
      <c r="C21" s="1" t="s">
        <v>1312</v>
      </c>
      <c r="D21" s="12">
        <v>0</v>
      </c>
      <c r="E21" s="1"/>
      <c r="F21" s="110"/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110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108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110"/>
      <c r="G24" s="1"/>
      <c r="H24" s="1"/>
      <c r="I24" s="1"/>
      <c r="J24" s="18"/>
      <c r="K24" s="1"/>
      <c r="L24" s="1"/>
      <c r="M24" s="1"/>
      <c r="N24" s="1"/>
    </row>
    <row r="25" spans="1:14">
      <c r="A25" s="53">
        <v>46005</v>
      </c>
      <c r="B25" s="1" t="s">
        <v>34</v>
      </c>
      <c r="C25" s="1" t="s">
        <v>1313</v>
      </c>
      <c r="D25" s="12">
        <v>0</v>
      </c>
      <c r="E25" s="1"/>
      <c r="F25" s="110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06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2978.0499999999997</v>
      </c>
      <c r="E27" s="1"/>
      <c r="F27" s="108"/>
      <c r="G27" s="18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08"/>
      <c r="G28" s="1"/>
      <c r="H28" s="1"/>
      <c r="I28" s="9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108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11181</v>
      </c>
      <c r="E30" s="30"/>
      <c r="F30" s="108"/>
      <c r="G30" s="29"/>
      <c r="H30" s="29"/>
      <c r="I30" s="29"/>
      <c r="J30" s="31"/>
      <c r="K30" s="31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8202.9500000000007</v>
      </c>
      <c r="E31" s="32"/>
      <c r="F31" s="108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109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109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2050.7375000000002</v>
      </c>
      <c r="D34" s="12" t="s">
        <v>1363</v>
      </c>
      <c r="E34" s="12"/>
      <c r="F34" s="109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1487-1311-4983-A2F1-F9F2E9F5012A}">
  <dimension ref="A1:S47"/>
  <sheetViews>
    <sheetView workbookViewId="0">
      <selection activeCell="F14" sqref="F1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46.140625" style="66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1596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46021</v>
      </c>
      <c r="B3" s="7" t="s">
        <v>6</v>
      </c>
      <c r="C3" s="1" t="s">
        <v>359</v>
      </c>
      <c r="D3" s="8">
        <v>1278.8499999999999</v>
      </c>
      <c r="E3" s="9"/>
      <c r="F3" s="112" t="s">
        <v>1600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>
        <v>46022</v>
      </c>
      <c r="B4" s="7" t="s">
        <v>10</v>
      </c>
      <c r="C4" s="1" t="s">
        <v>1597</v>
      </c>
      <c r="D4" s="12">
        <v>156</v>
      </c>
      <c r="E4" s="9"/>
      <c r="F4" s="106"/>
      <c r="G4" s="11"/>
      <c r="H4" s="11"/>
      <c r="I4" s="59"/>
      <c r="J4" s="19"/>
      <c r="K4" s="11"/>
      <c r="L4" s="11"/>
      <c r="M4" s="11"/>
      <c r="N4" s="11"/>
    </row>
    <row r="5" spans="1:19">
      <c r="A5" s="51" t="s">
        <v>9</v>
      </c>
      <c r="B5" s="56" t="s">
        <v>581</v>
      </c>
      <c r="C5" s="1" t="s">
        <v>1422</v>
      </c>
      <c r="D5" s="12">
        <v>0</v>
      </c>
      <c r="E5" s="9"/>
      <c r="F5" s="106"/>
      <c r="G5" s="16"/>
      <c r="H5" s="7"/>
      <c r="I5" s="96"/>
      <c r="J5" s="17"/>
      <c r="K5" s="7"/>
      <c r="L5" s="7"/>
      <c r="M5" s="7"/>
      <c r="N5" s="7"/>
    </row>
    <row r="6" spans="1:19">
      <c r="A6" s="51">
        <v>46031</v>
      </c>
      <c r="B6" s="7" t="s">
        <v>1503</v>
      </c>
      <c r="C6" s="1" t="s">
        <v>16</v>
      </c>
      <c r="D6" s="12">
        <v>126</v>
      </c>
      <c r="E6" s="12"/>
      <c r="F6" s="110" t="s">
        <v>1601</v>
      </c>
      <c r="H6" s="7"/>
      <c r="I6" s="96"/>
      <c r="J6" s="17"/>
      <c r="K6" s="7"/>
      <c r="L6" s="7"/>
      <c r="M6" s="7"/>
      <c r="N6" s="7"/>
    </row>
    <row r="7" spans="1:19">
      <c r="A7" s="85">
        <v>46037</v>
      </c>
      <c r="B7" s="7" t="s">
        <v>21</v>
      </c>
      <c r="C7" s="1" t="s">
        <v>23</v>
      </c>
      <c r="D7" s="12">
        <v>395.76</v>
      </c>
      <c r="E7" s="9"/>
      <c r="F7" s="110">
        <v>149875627</v>
      </c>
      <c r="H7" s="11"/>
      <c r="I7" s="11"/>
      <c r="J7" s="19"/>
      <c r="K7" s="11"/>
      <c r="L7" s="11"/>
      <c r="M7" s="11"/>
      <c r="N7" s="11"/>
    </row>
    <row r="8" spans="1:19">
      <c r="A8" s="85" t="s">
        <v>9</v>
      </c>
      <c r="B8" s="7" t="s">
        <v>21</v>
      </c>
      <c r="C8" s="1" t="s">
        <v>25</v>
      </c>
      <c r="D8" s="12">
        <v>35</v>
      </c>
      <c r="E8" s="16"/>
      <c r="F8" s="110"/>
      <c r="G8" s="11"/>
      <c r="H8" s="11"/>
      <c r="I8" s="11"/>
      <c r="J8" s="19"/>
      <c r="K8" s="11"/>
      <c r="L8" s="11"/>
      <c r="M8" s="11"/>
      <c r="N8" s="11"/>
    </row>
    <row r="9" spans="1:19">
      <c r="A9" s="51">
        <v>46037</v>
      </c>
      <c r="B9" s="7" t="s">
        <v>31</v>
      </c>
      <c r="C9" s="1" t="s">
        <v>1305</v>
      </c>
      <c r="D9" s="12">
        <v>66.45</v>
      </c>
      <c r="E9" s="9"/>
      <c r="F9" s="110" t="s">
        <v>1208</v>
      </c>
      <c r="G9" s="20"/>
      <c r="H9" s="11"/>
      <c r="I9" s="11"/>
      <c r="J9" s="19"/>
      <c r="K9" s="11"/>
      <c r="L9" s="11"/>
      <c r="M9" s="11"/>
      <c r="N9" s="11"/>
    </row>
    <row r="10" spans="1:19">
      <c r="A10" s="51">
        <v>46037</v>
      </c>
      <c r="B10" s="7" t="s">
        <v>863</v>
      </c>
      <c r="C10" s="1" t="s">
        <v>864</v>
      </c>
      <c r="D10" s="12">
        <v>479</v>
      </c>
      <c r="E10" s="12"/>
      <c r="F10" s="107" t="s">
        <v>1602</v>
      </c>
      <c r="G10" s="35"/>
      <c r="H10" s="1"/>
      <c r="I10" s="8"/>
      <c r="J10" s="18"/>
      <c r="K10" s="1"/>
      <c r="L10" s="1"/>
      <c r="M10" s="1"/>
      <c r="N10" s="1"/>
    </row>
    <row r="11" spans="1:19">
      <c r="A11" s="51"/>
      <c r="B11" s="7" t="s">
        <v>367</v>
      </c>
      <c r="C11" s="1" t="s">
        <v>1598</v>
      </c>
      <c r="D11" s="12">
        <v>161</v>
      </c>
      <c r="E11" s="9"/>
      <c r="F11" s="110"/>
      <c r="G11" s="7"/>
      <c r="H11" s="7"/>
      <c r="I11" s="7"/>
      <c r="J11" s="17"/>
      <c r="K11" s="7"/>
      <c r="L11" s="7"/>
      <c r="M11" s="7"/>
      <c r="N11" s="7"/>
    </row>
    <row r="12" spans="1:19">
      <c r="A12" s="51" t="s">
        <v>9</v>
      </c>
      <c r="B12" s="97" t="s">
        <v>1386</v>
      </c>
      <c r="C12" s="94" t="s">
        <v>1277</v>
      </c>
      <c r="D12" s="12">
        <v>0</v>
      </c>
      <c r="E12" s="9"/>
      <c r="F12" s="108"/>
      <c r="G12" s="7"/>
      <c r="H12" s="7"/>
      <c r="I12" s="7"/>
      <c r="J12" s="17"/>
      <c r="K12" s="7"/>
      <c r="L12" s="7"/>
      <c r="M12" s="7"/>
      <c r="N12" s="7"/>
    </row>
    <row r="13" spans="1:19">
      <c r="A13" s="52">
        <v>46051</v>
      </c>
      <c r="B13" s="7" t="s">
        <v>1257</v>
      </c>
      <c r="C13" s="1" t="s">
        <v>1599</v>
      </c>
      <c r="D13" s="12">
        <v>79.989999999999995</v>
      </c>
      <c r="E13" s="1"/>
      <c r="F13" s="108" t="s">
        <v>1208</v>
      </c>
      <c r="G13" s="1"/>
      <c r="H13" s="1"/>
      <c r="I13" s="1"/>
      <c r="J13" s="18"/>
      <c r="K13" s="1"/>
      <c r="L13" s="1"/>
      <c r="M13" s="1"/>
      <c r="N13" s="1"/>
    </row>
    <row r="14" spans="1:19">
      <c r="A14" s="52"/>
      <c r="B14" s="1"/>
      <c r="C14" s="1"/>
      <c r="D14" s="12">
        <v>0</v>
      </c>
      <c r="E14" s="1"/>
      <c r="F14" s="108"/>
      <c r="G14" s="1"/>
      <c r="H14" s="68"/>
      <c r="I14" s="1"/>
      <c r="J14" s="18"/>
      <c r="K14" s="98"/>
      <c r="L14" s="1"/>
      <c r="M14" s="1"/>
      <c r="N14" s="1"/>
      <c r="S14" s="104"/>
    </row>
    <row r="15" spans="1:19">
      <c r="A15" s="52"/>
      <c r="B15" s="1"/>
      <c r="C15" s="22" t="s">
        <v>37</v>
      </c>
      <c r="D15" s="1"/>
      <c r="E15" s="1"/>
      <c r="F15" s="108"/>
      <c r="G15" s="1"/>
      <c r="H15" s="1"/>
      <c r="I15" s="1"/>
      <c r="J15" s="18"/>
      <c r="K15" s="1"/>
      <c r="L15" s="1"/>
      <c r="M15" s="1"/>
      <c r="N15" s="1"/>
    </row>
    <row r="16" spans="1:19" ht="16.5">
      <c r="A16" s="52">
        <v>46031</v>
      </c>
      <c r="B16" s="1" t="s">
        <v>1255</v>
      </c>
      <c r="C16" s="88" t="s">
        <v>41</v>
      </c>
      <c r="D16" s="12">
        <v>200</v>
      </c>
      <c r="E16" s="1"/>
      <c r="F16" s="111">
        <v>9028802123</v>
      </c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108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110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110"/>
      <c r="H19" s="1"/>
      <c r="I19" s="1"/>
      <c r="J19" s="18"/>
      <c r="K19" s="1"/>
      <c r="L19" s="1"/>
      <c r="M19" s="1"/>
      <c r="N19" s="1"/>
    </row>
    <row r="20" spans="1:14">
      <c r="A20" s="53">
        <v>46037</v>
      </c>
      <c r="B20" s="1" t="s">
        <v>27</v>
      </c>
      <c r="C20" s="1" t="s">
        <v>43</v>
      </c>
      <c r="D20" s="12">
        <v>0</v>
      </c>
      <c r="E20" s="1"/>
      <c r="F20" s="110">
        <v>26011543208079</v>
      </c>
      <c r="G20" s="1"/>
      <c r="H20" s="1"/>
      <c r="I20" s="1"/>
      <c r="J20" s="18"/>
      <c r="K20" s="1"/>
      <c r="L20" s="1"/>
      <c r="M20" s="1"/>
      <c r="N20" s="1"/>
    </row>
    <row r="21" spans="1:14">
      <c r="A21" s="53">
        <v>46037</v>
      </c>
      <c r="B21" s="1" t="s">
        <v>51</v>
      </c>
      <c r="C21" s="1" t="s">
        <v>1312</v>
      </c>
      <c r="D21" s="12">
        <v>0</v>
      </c>
      <c r="E21" s="1"/>
      <c r="F21" s="110"/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110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108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110"/>
      <c r="G24" s="1"/>
      <c r="H24" s="1"/>
      <c r="I24" s="1"/>
      <c r="J24" s="18"/>
      <c r="K24" s="1"/>
      <c r="L24" s="1"/>
      <c r="M24" s="1"/>
      <c r="N24" s="1"/>
    </row>
    <row r="25" spans="1:14">
      <c r="A25" s="53">
        <v>46037</v>
      </c>
      <c r="B25" s="1" t="s">
        <v>34</v>
      </c>
      <c r="C25" s="1" t="s">
        <v>1313</v>
      </c>
      <c r="D25" s="12">
        <v>0</v>
      </c>
      <c r="E25" s="1"/>
      <c r="F25" s="110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06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2978.0499999999997</v>
      </c>
      <c r="E27" s="1"/>
      <c r="F27" s="108"/>
      <c r="G27" s="18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08"/>
      <c r="G28" s="1"/>
      <c r="H28" s="1"/>
      <c r="I28" s="9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108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11181</v>
      </c>
      <c r="E30" s="30"/>
      <c r="F30" s="108"/>
      <c r="G30" s="29"/>
      <c r="H30" s="29"/>
      <c r="I30" s="29"/>
      <c r="J30" s="31"/>
      <c r="K30" s="31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8202.9500000000007</v>
      </c>
      <c r="E31" s="32"/>
      <c r="F31" s="108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109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109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2050.7375000000002</v>
      </c>
      <c r="D34" s="12" t="s">
        <v>1363</v>
      </c>
      <c r="E34" s="12"/>
      <c r="F34" s="109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D269-70AA-4CA0-AECB-FBBE61747AF3}">
  <dimension ref="A1:S47"/>
  <sheetViews>
    <sheetView workbookViewId="0">
      <selection activeCell="A12" sqref="A12"/>
    </sheetView>
  </sheetViews>
  <sheetFormatPr defaultRowHeight="15"/>
  <cols>
    <col min="1" max="1" width="10.140625" customWidth="1"/>
    <col min="2" max="2" width="13.42578125" customWidth="1"/>
    <col min="3" max="3" width="46.5703125" bestFit="1" customWidth="1"/>
    <col min="4" max="4" width="15.42578125" customWidth="1"/>
    <col min="5" max="5" width="8.7109375" customWidth="1"/>
    <col min="6" max="6" width="46.140625" style="66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1603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46052</v>
      </c>
      <c r="B3" s="7" t="s">
        <v>6</v>
      </c>
      <c r="C3" s="1" t="s">
        <v>359</v>
      </c>
      <c r="D3" s="8">
        <v>1278.8499999999999</v>
      </c>
      <c r="E3" s="9"/>
      <c r="F3" s="112" t="s">
        <v>1604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>
        <v>46052</v>
      </c>
      <c r="B4" s="7" t="s">
        <v>10</v>
      </c>
      <c r="C4" s="1" t="s">
        <v>1597</v>
      </c>
      <c r="D4" s="12">
        <v>156</v>
      </c>
      <c r="E4" s="9"/>
      <c r="F4" s="106"/>
      <c r="G4" s="11"/>
      <c r="H4" s="11"/>
      <c r="I4" s="59"/>
      <c r="J4" s="19"/>
      <c r="K4" s="11"/>
      <c r="L4" s="11"/>
      <c r="M4" s="11"/>
      <c r="N4" s="11"/>
    </row>
    <row r="5" spans="1:19">
      <c r="A5" s="51" t="s">
        <v>9</v>
      </c>
      <c r="B5" s="56" t="s">
        <v>581</v>
      </c>
      <c r="C5" s="1" t="s">
        <v>1422</v>
      </c>
      <c r="D5" s="12">
        <v>0</v>
      </c>
      <c r="E5" s="9"/>
      <c r="F5" s="106"/>
      <c r="G5" s="16"/>
      <c r="H5" s="7"/>
      <c r="I5" s="96"/>
      <c r="J5" s="17"/>
      <c r="K5" s="7"/>
      <c r="L5" s="7"/>
      <c r="M5" s="7"/>
      <c r="N5" s="7"/>
    </row>
    <row r="6" spans="1:19">
      <c r="A6" s="51">
        <v>46066</v>
      </c>
      <c r="B6" s="7" t="s">
        <v>1503</v>
      </c>
      <c r="C6" s="1" t="s">
        <v>16</v>
      </c>
      <c r="D6" s="12">
        <v>126</v>
      </c>
      <c r="E6" s="12"/>
      <c r="F6" s="110" t="s">
        <v>1605</v>
      </c>
      <c r="H6" s="7"/>
      <c r="I6" s="96"/>
      <c r="J6" s="17"/>
      <c r="K6" s="7"/>
      <c r="L6" s="7"/>
      <c r="M6" s="7"/>
      <c r="N6" s="7"/>
      <c r="P6">
        <v>5607.23</v>
      </c>
      <c r="Q6">
        <f>P6*2</f>
        <v>11214.46</v>
      </c>
    </row>
    <row r="7" spans="1:19">
      <c r="A7" s="85">
        <v>46066</v>
      </c>
      <c r="B7" s="7" t="s">
        <v>21</v>
      </c>
      <c r="C7" s="1" t="s">
        <v>23</v>
      </c>
      <c r="D7" s="12">
        <v>395.76</v>
      </c>
      <c r="E7" s="9"/>
      <c r="F7" s="110"/>
      <c r="H7" s="11"/>
      <c r="I7" s="11"/>
      <c r="J7" s="19"/>
      <c r="K7" s="11"/>
      <c r="L7" s="11"/>
      <c r="M7" s="11"/>
      <c r="N7" s="11"/>
      <c r="P7">
        <v>600</v>
      </c>
    </row>
    <row r="8" spans="1:19">
      <c r="A8" s="85">
        <v>46052</v>
      </c>
      <c r="B8" s="7" t="s">
        <v>21</v>
      </c>
      <c r="C8" s="1" t="s">
        <v>1609</v>
      </c>
      <c r="D8" s="12">
        <v>35</v>
      </c>
      <c r="E8" s="16"/>
      <c r="F8" s="110"/>
      <c r="G8" s="11"/>
      <c r="H8" s="11"/>
      <c r="I8" s="11"/>
      <c r="J8" s="19"/>
      <c r="K8" s="11"/>
      <c r="L8" s="11"/>
      <c r="M8" s="11"/>
      <c r="N8" s="11"/>
    </row>
    <row r="9" spans="1:19">
      <c r="A9" s="51">
        <v>46073</v>
      </c>
      <c r="B9" s="7" t="s">
        <v>31</v>
      </c>
      <c r="C9" s="1" t="s">
        <v>1305</v>
      </c>
      <c r="D9" s="12">
        <v>66.45</v>
      </c>
      <c r="E9" s="9"/>
      <c r="F9" s="110"/>
      <c r="G9" s="20"/>
      <c r="H9" s="11"/>
      <c r="I9" s="11"/>
      <c r="J9" s="19"/>
      <c r="K9" s="11"/>
      <c r="L9" s="11"/>
      <c r="M9" s="11"/>
      <c r="N9" s="11"/>
      <c r="P9">
        <f>SUM(P6:P8)</f>
        <v>6207.23</v>
      </c>
      <c r="Q9">
        <f>P9*2</f>
        <v>12414.46</v>
      </c>
    </row>
    <row r="10" spans="1:19">
      <c r="A10" s="51">
        <v>46066</v>
      </c>
      <c r="B10" s="7" t="s">
        <v>863</v>
      </c>
      <c r="C10" s="1" t="s">
        <v>864</v>
      </c>
      <c r="D10" s="12">
        <v>479</v>
      </c>
      <c r="E10" s="12"/>
      <c r="F10" s="107" t="s">
        <v>1606</v>
      </c>
      <c r="G10" s="35"/>
      <c r="H10" s="1"/>
      <c r="I10" s="8"/>
      <c r="J10" s="18"/>
      <c r="K10" s="1"/>
      <c r="L10" s="1"/>
      <c r="M10" s="1"/>
      <c r="N10" s="1"/>
    </row>
    <row r="11" spans="1:19">
      <c r="A11" s="51">
        <v>46066</v>
      </c>
      <c r="B11" s="7" t="s">
        <v>367</v>
      </c>
      <c r="C11" s="1" t="s">
        <v>1598</v>
      </c>
      <c r="D11" s="12">
        <v>161</v>
      </c>
      <c r="E11" s="9"/>
      <c r="F11" s="110"/>
      <c r="G11" s="7"/>
      <c r="H11" s="7"/>
      <c r="I11" s="7"/>
      <c r="J11" s="17"/>
      <c r="K11" s="7"/>
      <c r="L11" s="7"/>
      <c r="M11" s="7"/>
      <c r="N11" s="7"/>
    </row>
    <row r="12" spans="1:19" ht="15.75">
      <c r="A12" s="51">
        <v>46062</v>
      </c>
      <c r="B12" s="97" t="s">
        <v>1386</v>
      </c>
      <c r="C12" s="94" t="s">
        <v>1277</v>
      </c>
      <c r="D12" s="12">
        <v>0</v>
      </c>
      <c r="E12" s="9"/>
      <c r="F12" s="113">
        <v>200442788930</v>
      </c>
      <c r="G12" s="7"/>
      <c r="H12" s="7"/>
      <c r="I12" s="7"/>
      <c r="J12" s="17"/>
      <c r="K12" s="7"/>
      <c r="L12" s="7"/>
      <c r="M12" s="7"/>
      <c r="N12" s="7"/>
    </row>
    <row r="13" spans="1:19">
      <c r="A13" s="52">
        <v>46082</v>
      </c>
      <c r="B13" s="7" t="s">
        <v>1257</v>
      </c>
      <c r="C13" s="1" t="s">
        <v>1599</v>
      </c>
      <c r="D13" s="12">
        <v>79.989999999999995</v>
      </c>
      <c r="E13" s="1"/>
      <c r="F13" s="108"/>
      <c r="G13" s="1"/>
      <c r="H13" s="1"/>
      <c r="I13" s="1"/>
      <c r="J13" s="18"/>
      <c r="K13" s="1"/>
      <c r="L13" s="1"/>
      <c r="M13" s="1"/>
      <c r="N13" s="1"/>
    </row>
    <row r="14" spans="1:19">
      <c r="A14" s="52"/>
      <c r="B14" s="1"/>
      <c r="C14" s="1"/>
      <c r="D14" s="12">
        <v>0</v>
      </c>
      <c r="E14" s="1"/>
      <c r="F14" s="108"/>
      <c r="G14" s="1"/>
      <c r="H14" s="68"/>
      <c r="I14" s="1"/>
      <c r="J14" s="18"/>
      <c r="K14" s="98"/>
      <c r="L14" s="1"/>
      <c r="M14" s="1"/>
      <c r="N14" s="1"/>
      <c r="S14" s="104"/>
    </row>
    <row r="15" spans="1:19">
      <c r="A15" s="52"/>
      <c r="B15" s="1"/>
      <c r="C15" s="22" t="s">
        <v>37</v>
      </c>
      <c r="D15" s="1"/>
      <c r="E15" s="1"/>
      <c r="F15" s="108"/>
      <c r="G15" s="1"/>
      <c r="H15" s="1"/>
      <c r="I15" s="1"/>
      <c r="J15" s="18"/>
      <c r="K15" s="1"/>
      <c r="L15" s="1"/>
      <c r="M15" s="1"/>
      <c r="N15" s="1"/>
    </row>
    <row r="16" spans="1:19" ht="16.5">
      <c r="A16" s="52">
        <v>46062</v>
      </c>
      <c r="B16" s="1" t="s">
        <v>1255</v>
      </c>
      <c r="C16" s="88" t="s">
        <v>41</v>
      </c>
      <c r="D16" s="12">
        <v>200</v>
      </c>
      <c r="E16" s="1"/>
      <c r="F16" s="111"/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108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110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110"/>
      <c r="H19" s="1"/>
      <c r="I19" s="1"/>
      <c r="J19" s="18"/>
      <c r="K19" s="1"/>
      <c r="L19" s="1"/>
      <c r="M19" s="1"/>
      <c r="N19" s="1"/>
    </row>
    <row r="20" spans="1:14">
      <c r="A20" s="53">
        <v>46066</v>
      </c>
      <c r="B20" s="1" t="s">
        <v>27</v>
      </c>
      <c r="C20" s="1" t="s">
        <v>43</v>
      </c>
      <c r="D20" s="12">
        <v>0</v>
      </c>
      <c r="E20" s="1"/>
      <c r="F20" s="110">
        <v>26021247202745</v>
      </c>
      <c r="G20" s="1"/>
      <c r="H20" s="1"/>
      <c r="I20" s="1"/>
      <c r="J20" s="18"/>
      <c r="K20" s="1"/>
      <c r="L20" s="1"/>
      <c r="M20" s="1"/>
      <c r="N20" s="1"/>
    </row>
    <row r="21" spans="1:14" ht="18">
      <c r="A21" s="53">
        <v>46067</v>
      </c>
      <c r="B21" s="1" t="s">
        <v>51</v>
      </c>
      <c r="C21" s="1" t="s">
        <v>1312</v>
      </c>
      <c r="D21" s="12">
        <v>0</v>
      </c>
      <c r="E21" s="1"/>
      <c r="F21" s="101" t="s">
        <v>1608</v>
      </c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110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108"/>
      <c r="G23" s="1"/>
      <c r="H23" s="1"/>
      <c r="I23" s="1"/>
      <c r="J23" s="18"/>
      <c r="K23" s="1"/>
      <c r="L23" s="70"/>
      <c r="M23" s="1"/>
      <c r="N23" s="1"/>
    </row>
    <row r="24" spans="1:14">
      <c r="A24" s="53">
        <v>46073</v>
      </c>
      <c r="B24" s="1" t="s">
        <v>38</v>
      </c>
      <c r="C24" s="1" t="s">
        <v>39</v>
      </c>
      <c r="D24" s="23">
        <v>0</v>
      </c>
      <c r="E24" s="1"/>
      <c r="F24" s="110" t="s">
        <v>1610</v>
      </c>
      <c r="G24" s="1"/>
      <c r="H24" s="1"/>
      <c r="I24" s="1"/>
      <c r="J24" s="18"/>
      <c r="K24" s="1"/>
      <c r="L24" s="1"/>
      <c r="M24" s="1"/>
      <c r="N24" s="1"/>
    </row>
    <row r="25" spans="1:14" ht="18">
      <c r="A25" s="53">
        <v>46067</v>
      </c>
      <c r="B25" s="1" t="s">
        <v>34</v>
      </c>
      <c r="C25" s="1" t="s">
        <v>1313</v>
      </c>
      <c r="D25" s="12">
        <v>0</v>
      </c>
      <c r="E25" s="1"/>
      <c r="F25" s="101" t="s">
        <v>1607</v>
      </c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06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2978.0499999999997</v>
      </c>
      <c r="E27" s="1"/>
      <c r="F27" s="108"/>
      <c r="G27" s="18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08"/>
      <c r="G28" s="1"/>
      <c r="H28" s="1"/>
      <c r="I28" s="9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108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11181</v>
      </c>
      <c r="E30" s="30"/>
      <c r="F30" s="108"/>
      <c r="G30" s="29"/>
      <c r="H30" s="29"/>
      <c r="I30" s="29"/>
      <c r="J30" s="31"/>
      <c r="K30" s="31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8202.9500000000007</v>
      </c>
      <c r="E31" s="32"/>
      <c r="F31" s="108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109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109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2050.7375000000002</v>
      </c>
      <c r="D34" s="12" t="s">
        <v>1363</v>
      </c>
      <c r="E34" s="12"/>
      <c r="F34" s="109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862B-7772-46B8-BFA3-3C78B4E97B10}">
  <dimension ref="A1:S47"/>
  <sheetViews>
    <sheetView tabSelected="1" workbookViewId="0">
      <selection activeCell="A2" sqref="A2"/>
    </sheetView>
  </sheetViews>
  <sheetFormatPr defaultRowHeight="15"/>
  <cols>
    <col min="1" max="1" width="10.140625" customWidth="1"/>
    <col min="2" max="2" width="13.42578125" customWidth="1"/>
    <col min="3" max="3" width="46.5703125" bestFit="1" customWidth="1"/>
    <col min="4" max="4" width="15.42578125" customWidth="1"/>
    <col min="5" max="5" width="8.7109375" customWidth="1"/>
    <col min="6" max="6" width="46.140625" style="66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1615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>
        <v>46080</v>
      </c>
      <c r="B3" s="7" t="s">
        <v>6</v>
      </c>
      <c r="C3" s="1" t="s">
        <v>359</v>
      </c>
      <c r="D3" s="8">
        <v>1278.8499999999999</v>
      </c>
      <c r="E3" s="9"/>
      <c r="F3" s="112" t="s">
        <v>1611</v>
      </c>
      <c r="G3" s="11"/>
      <c r="H3" s="11"/>
      <c r="I3" s="11"/>
      <c r="J3" s="58"/>
      <c r="K3" s="11"/>
      <c r="L3" s="11"/>
      <c r="M3" s="11"/>
      <c r="N3" s="11"/>
    </row>
    <row r="4" spans="1:19" ht="15.75">
      <c r="A4" s="51">
        <v>46082</v>
      </c>
      <c r="B4" s="7" t="s">
        <v>10</v>
      </c>
      <c r="C4" s="1" t="s">
        <v>1597</v>
      </c>
      <c r="D4" s="12">
        <v>156</v>
      </c>
      <c r="E4" s="9"/>
      <c r="F4" s="106"/>
      <c r="G4" s="11"/>
      <c r="H4" s="11"/>
      <c r="I4" s="59"/>
      <c r="J4" s="19"/>
      <c r="K4" s="11"/>
      <c r="L4" s="11"/>
      <c r="M4" s="11"/>
      <c r="N4" s="11"/>
    </row>
    <row r="5" spans="1:19">
      <c r="A5" s="51" t="s">
        <v>9</v>
      </c>
      <c r="B5" s="56" t="s">
        <v>581</v>
      </c>
      <c r="C5" s="1" t="s">
        <v>1422</v>
      </c>
      <c r="D5" s="12">
        <v>0</v>
      </c>
      <c r="E5" s="9"/>
      <c r="F5" s="106"/>
      <c r="G5" s="16"/>
      <c r="H5" s="7"/>
      <c r="I5" s="96"/>
      <c r="J5" s="17"/>
      <c r="K5" s="7"/>
      <c r="L5" s="7"/>
      <c r="M5" s="7"/>
      <c r="N5" s="7"/>
    </row>
    <row r="6" spans="1:19">
      <c r="A6" s="51">
        <v>46093</v>
      </c>
      <c r="B6" s="7" t="s">
        <v>1503</v>
      </c>
      <c r="C6" s="1" t="s">
        <v>16</v>
      </c>
      <c r="D6" s="12">
        <v>126</v>
      </c>
      <c r="E6" s="12"/>
      <c r="F6" s="110" t="s">
        <v>1612</v>
      </c>
      <c r="H6" s="7"/>
      <c r="I6" s="96"/>
      <c r="J6" s="17"/>
      <c r="K6" s="7"/>
      <c r="L6" s="7"/>
      <c r="M6" s="7"/>
      <c r="N6" s="7"/>
    </row>
    <row r="7" spans="1:19">
      <c r="A7" s="51">
        <v>46093</v>
      </c>
      <c r="B7" s="7" t="s">
        <v>21</v>
      </c>
      <c r="C7" s="1" t="s">
        <v>23</v>
      </c>
      <c r="D7" s="12">
        <v>395.76</v>
      </c>
      <c r="E7" s="9"/>
      <c r="F7" s="110"/>
      <c r="H7" s="11"/>
      <c r="I7" s="11"/>
      <c r="J7" s="19"/>
      <c r="K7" s="11"/>
      <c r="L7" s="11"/>
      <c r="M7" s="11"/>
      <c r="N7" s="11"/>
    </row>
    <row r="8" spans="1:19">
      <c r="A8" s="85" t="s">
        <v>9</v>
      </c>
      <c r="B8" s="7" t="s">
        <v>21</v>
      </c>
      <c r="C8" s="1" t="s">
        <v>1609</v>
      </c>
      <c r="D8" s="12">
        <v>35</v>
      </c>
      <c r="E8" s="16"/>
      <c r="F8" s="110"/>
      <c r="G8" s="11"/>
      <c r="H8" s="11"/>
      <c r="I8" s="11"/>
      <c r="J8" s="19"/>
      <c r="K8" s="11"/>
      <c r="L8" s="11"/>
      <c r="M8" s="11"/>
      <c r="N8" s="11"/>
    </row>
    <row r="9" spans="1:19">
      <c r="A9" s="51">
        <v>46093</v>
      </c>
      <c r="B9" s="7" t="s">
        <v>31</v>
      </c>
      <c r="C9" s="1" t="s">
        <v>1305</v>
      </c>
      <c r="D9" s="12">
        <v>66.45</v>
      </c>
      <c r="E9" s="9"/>
      <c r="F9" s="110" t="s">
        <v>1208</v>
      </c>
      <c r="G9" s="20"/>
      <c r="H9" s="11"/>
      <c r="I9" s="11"/>
      <c r="J9" s="19"/>
      <c r="K9" s="11"/>
      <c r="L9" s="11"/>
      <c r="M9" s="11"/>
      <c r="N9" s="11"/>
    </row>
    <row r="10" spans="1:19">
      <c r="A10" s="51">
        <v>46093</v>
      </c>
      <c r="B10" s="7" t="s">
        <v>863</v>
      </c>
      <c r="C10" s="1" t="s">
        <v>864</v>
      </c>
      <c r="D10" s="12">
        <v>479</v>
      </c>
      <c r="E10" s="12"/>
      <c r="F10" s="107" t="s">
        <v>1613</v>
      </c>
      <c r="G10" s="35"/>
      <c r="H10" s="1"/>
      <c r="I10" s="8"/>
      <c r="J10" s="18"/>
      <c r="K10" s="1"/>
      <c r="L10" s="1"/>
      <c r="M10" s="1"/>
      <c r="N10" s="1"/>
    </row>
    <row r="11" spans="1:19">
      <c r="A11" s="51"/>
      <c r="B11" s="7" t="s">
        <v>367</v>
      </c>
      <c r="C11" s="1" t="s">
        <v>1598</v>
      </c>
      <c r="D11" s="12">
        <v>161</v>
      </c>
      <c r="E11" s="9"/>
      <c r="F11" s="110"/>
      <c r="G11" s="7"/>
      <c r="H11" s="7"/>
      <c r="I11" s="7"/>
      <c r="J11" s="17"/>
      <c r="K11" s="7"/>
      <c r="L11" s="7"/>
      <c r="M11" s="7"/>
      <c r="N11" s="7"/>
    </row>
    <row r="12" spans="1:19" ht="15.75">
      <c r="A12" s="51" t="s">
        <v>9</v>
      </c>
      <c r="B12" s="97" t="s">
        <v>1531</v>
      </c>
      <c r="C12" s="94" t="s">
        <v>1277</v>
      </c>
      <c r="D12" s="12">
        <v>0</v>
      </c>
      <c r="E12" s="9"/>
      <c r="F12" s="113"/>
      <c r="G12" s="7"/>
      <c r="H12" s="7"/>
      <c r="I12" s="7"/>
      <c r="J12" s="17"/>
      <c r="K12" s="7"/>
      <c r="L12" s="7"/>
      <c r="M12" s="7"/>
      <c r="N12" s="7"/>
    </row>
    <row r="13" spans="1:19">
      <c r="A13" s="52"/>
      <c r="B13" s="7" t="s">
        <v>1257</v>
      </c>
      <c r="C13" s="1" t="s">
        <v>1599</v>
      </c>
      <c r="D13" s="12">
        <v>79.989999999999995</v>
      </c>
      <c r="E13" s="1"/>
      <c r="F13" s="108"/>
      <c r="G13" s="1"/>
      <c r="H13" s="1"/>
      <c r="I13" s="1"/>
      <c r="J13" s="18"/>
      <c r="K13" s="1"/>
      <c r="L13" s="1"/>
      <c r="M13" s="1"/>
      <c r="N13" s="1"/>
    </row>
    <row r="14" spans="1:19">
      <c r="A14" s="52"/>
      <c r="B14" s="1"/>
      <c r="C14" s="1"/>
      <c r="D14" s="12">
        <v>0</v>
      </c>
      <c r="E14" s="1"/>
      <c r="F14" s="108"/>
      <c r="G14" s="1"/>
      <c r="H14" s="68"/>
      <c r="I14" s="1"/>
      <c r="J14" s="18"/>
      <c r="K14" s="98"/>
      <c r="L14" s="1"/>
      <c r="M14" s="1"/>
      <c r="N14" s="1"/>
      <c r="S14" s="104"/>
    </row>
    <row r="15" spans="1:19">
      <c r="A15" s="52"/>
      <c r="B15" s="1"/>
      <c r="C15" s="22" t="s">
        <v>37</v>
      </c>
      <c r="D15" s="1"/>
      <c r="E15" s="1"/>
      <c r="F15" s="108"/>
      <c r="G15" s="1"/>
      <c r="H15" s="1"/>
      <c r="I15" s="1"/>
      <c r="J15" s="18"/>
      <c r="K15" s="1"/>
      <c r="L15" s="1"/>
      <c r="M15" s="1"/>
      <c r="N15" s="1"/>
    </row>
    <row r="16" spans="1:19" ht="16.5">
      <c r="A16" s="52">
        <v>46084</v>
      </c>
      <c r="B16" s="1" t="s">
        <v>1255</v>
      </c>
      <c r="C16" s="88" t="s">
        <v>41</v>
      </c>
      <c r="D16" s="12">
        <v>200</v>
      </c>
      <c r="E16" s="1"/>
      <c r="F16" s="111">
        <v>9170832295</v>
      </c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108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110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110"/>
      <c r="H19" s="1"/>
      <c r="I19" s="1"/>
      <c r="J19" s="18"/>
      <c r="K19" s="1"/>
      <c r="L19" s="1"/>
      <c r="M19" s="1"/>
      <c r="N19" s="1"/>
    </row>
    <row r="20" spans="1:14">
      <c r="A20" s="53">
        <v>46093</v>
      </c>
      <c r="B20" s="1" t="s">
        <v>27</v>
      </c>
      <c r="C20" s="1" t="s">
        <v>43</v>
      </c>
      <c r="D20" s="12">
        <v>0</v>
      </c>
      <c r="E20" s="1"/>
      <c r="F20" s="110">
        <v>26031251375870</v>
      </c>
      <c r="G20" s="1"/>
      <c r="H20" s="1"/>
      <c r="I20" s="1"/>
      <c r="J20" s="18"/>
      <c r="K20" s="1"/>
      <c r="L20" s="1"/>
      <c r="M20" s="1"/>
      <c r="N20" s="1"/>
    </row>
    <row r="21" spans="1:14" ht="18">
      <c r="A21" s="53">
        <v>46093</v>
      </c>
      <c r="B21" s="1" t="s">
        <v>51</v>
      </c>
      <c r="C21" s="1" t="s">
        <v>1312</v>
      </c>
      <c r="D21" s="12">
        <v>0</v>
      </c>
      <c r="E21" s="1"/>
      <c r="F21" s="101"/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110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108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110"/>
      <c r="G24" s="1"/>
      <c r="H24" s="1"/>
      <c r="I24" s="1"/>
      <c r="J24" s="18"/>
      <c r="K24" s="1"/>
      <c r="L24" s="1"/>
      <c r="M24" s="1"/>
      <c r="N24" s="1"/>
    </row>
    <row r="25" spans="1:14" ht="18">
      <c r="A25" s="53">
        <v>46093</v>
      </c>
      <c r="B25" s="1" t="s">
        <v>34</v>
      </c>
      <c r="C25" s="1" t="s">
        <v>1313</v>
      </c>
      <c r="D25" s="12">
        <v>0</v>
      </c>
      <c r="E25" s="1"/>
      <c r="F25" s="101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06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2978.0499999999997</v>
      </c>
      <c r="E27" s="1"/>
      <c r="F27" s="108"/>
      <c r="G27" s="18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08"/>
      <c r="G28" s="1"/>
      <c r="H28" s="1"/>
      <c r="I28" s="9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108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11181</v>
      </c>
      <c r="E30" s="30"/>
      <c r="F30" s="108"/>
      <c r="G30" s="29"/>
      <c r="H30" s="29"/>
      <c r="I30" s="29"/>
      <c r="J30" s="31"/>
      <c r="K30" s="31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8202.9500000000007</v>
      </c>
      <c r="E31" s="32"/>
      <c r="F31" s="108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109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109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2050.7375000000002</v>
      </c>
      <c r="D34" s="12" t="s">
        <v>1363</v>
      </c>
      <c r="E34" s="12"/>
      <c r="F34" s="109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C256-B5FE-4548-84A2-8FC4AAAC3D03}">
  <dimension ref="A1:S47"/>
  <sheetViews>
    <sheetView workbookViewId="0">
      <selection activeCell="A25" sqref="A25"/>
    </sheetView>
  </sheetViews>
  <sheetFormatPr defaultRowHeight="15"/>
  <cols>
    <col min="1" max="1" width="10.140625" customWidth="1"/>
    <col min="2" max="2" width="13.42578125" customWidth="1"/>
    <col min="3" max="3" width="46.5703125" bestFit="1" customWidth="1"/>
    <col min="4" max="4" width="15.42578125" customWidth="1"/>
    <col min="5" max="5" width="8.7109375" customWidth="1"/>
    <col min="6" max="6" width="46.140625" style="66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1" width="12" bestFit="1" customWidth="1"/>
    <col min="12" max="1025" width="8.7109375" customWidth="1"/>
  </cols>
  <sheetData>
    <row r="1" spans="1:19" ht="20.25">
      <c r="A1" s="87" t="s">
        <v>1614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9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9" ht="15.75">
      <c r="A3" s="51"/>
      <c r="B3" s="7" t="s">
        <v>6</v>
      </c>
      <c r="C3" s="1" t="s">
        <v>359</v>
      </c>
      <c r="D3" s="8">
        <v>1278.8499999999999</v>
      </c>
      <c r="E3" s="9"/>
      <c r="F3" s="112"/>
      <c r="G3" s="11"/>
      <c r="H3" s="11"/>
      <c r="I3" s="11"/>
      <c r="J3" s="58"/>
      <c r="K3" s="11"/>
      <c r="L3" s="11"/>
      <c r="M3" s="11"/>
      <c r="N3" s="11"/>
    </row>
    <row r="4" spans="1:19" ht="15.75">
      <c r="A4" s="51"/>
      <c r="B4" s="7" t="s">
        <v>10</v>
      </c>
      <c r="C4" s="1" t="s">
        <v>1597</v>
      </c>
      <c r="D4" s="12">
        <v>156</v>
      </c>
      <c r="E4" s="9"/>
      <c r="F4" s="106"/>
      <c r="G4" s="11"/>
      <c r="H4" s="11"/>
      <c r="I4" s="59"/>
      <c r="J4" s="19"/>
      <c r="K4" s="11"/>
      <c r="L4" s="11"/>
      <c r="M4" s="11"/>
      <c r="N4" s="11"/>
    </row>
    <row r="5" spans="1:19">
      <c r="A5" s="51" t="s">
        <v>9</v>
      </c>
      <c r="B5" s="56" t="s">
        <v>581</v>
      </c>
      <c r="C5" s="1" t="s">
        <v>1422</v>
      </c>
      <c r="D5" s="12">
        <v>0</v>
      </c>
      <c r="E5" s="9"/>
      <c r="F5" s="106"/>
      <c r="G5" s="16"/>
      <c r="H5" s="7"/>
      <c r="I5" s="96"/>
      <c r="J5" s="17"/>
      <c r="K5" s="7"/>
      <c r="L5" s="7"/>
      <c r="M5" s="7"/>
      <c r="N5" s="7"/>
    </row>
    <row r="6" spans="1:19">
      <c r="A6" s="51"/>
      <c r="B6" s="7" t="s">
        <v>1503</v>
      </c>
      <c r="C6" s="1" t="s">
        <v>16</v>
      </c>
      <c r="D6" s="12">
        <v>126</v>
      </c>
      <c r="E6" s="12"/>
      <c r="F6" s="110"/>
      <c r="H6" s="7"/>
      <c r="I6" s="96"/>
      <c r="J6" s="17"/>
      <c r="K6" s="7"/>
      <c r="L6" s="7"/>
      <c r="M6" s="7"/>
      <c r="N6" s="7"/>
    </row>
    <row r="7" spans="1:19">
      <c r="A7" s="51"/>
      <c r="B7" s="7" t="s">
        <v>21</v>
      </c>
      <c r="C7" s="1" t="s">
        <v>23</v>
      </c>
      <c r="D7" s="12">
        <v>395.76</v>
      </c>
      <c r="E7" s="9"/>
      <c r="F7" s="110"/>
      <c r="H7" s="11"/>
      <c r="I7" s="11"/>
      <c r="J7" s="19"/>
      <c r="K7" s="11"/>
      <c r="L7" s="11"/>
      <c r="M7" s="11"/>
      <c r="N7" s="11"/>
    </row>
    <row r="8" spans="1:19">
      <c r="A8" s="85"/>
      <c r="B8" s="7" t="s">
        <v>21</v>
      </c>
      <c r="C8" s="1" t="s">
        <v>1609</v>
      </c>
      <c r="D8" s="12">
        <v>35</v>
      </c>
      <c r="E8" s="16"/>
      <c r="F8" s="110"/>
      <c r="G8" s="11"/>
      <c r="H8" s="11"/>
      <c r="I8" s="11"/>
      <c r="J8" s="19"/>
      <c r="K8" s="11"/>
      <c r="L8" s="11"/>
      <c r="M8" s="11"/>
      <c r="N8" s="11"/>
    </row>
    <row r="9" spans="1:19">
      <c r="A9" s="51"/>
      <c r="B9" s="7" t="s">
        <v>31</v>
      </c>
      <c r="C9" s="1" t="s">
        <v>1305</v>
      </c>
      <c r="D9" s="12">
        <v>66.45</v>
      </c>
      <c r="E9" s="9"/>
      <c r="F9" s="110"/>
      <c r="G9" s="20"/>
      <c r="H9" s="11"/>
      <c r="I9" s="11"/>
      <c r="J9" s="19"/>
      <c r="K9" s="11"/>
      <c r="L9" s="11"/>
      <c r="M9" s="11"/>
      <c r="N9" s="11"/>
    </row>
    <row r="10" spans="1:19">
      <c r="A10" s="51"/>
      <c r="B10" s="7" t="s">
        <v>863</v>
      </c>
      <c r="C10" s="1" t="s">
        <v>864</v>
      </c>
      <c r="D10" s="12">
        <v>479</v>
      </c>
      <c r="E10" s="12"/>
      <c r="F10" s="107"/>
      <c r="G10" s="35"/>
      <c r="H10" s="1"/>
      <c r="I10" s="8"/>
      <c r="J10" s="18"/>
      <c r="K10" s="1"/>
      <c r="L10" s="1"/>
      <c r="M10" s="1"/>
      <c r="N10" s="1"/>
    </row>
    <row r="11" spans="1:19">
      <c r="A11" s="51"/>
      <c r="B11" s="7" t="s">
        <v>367</v>
      </c>
      <c r="C11" s="1" t="s">
        <v>1598</v>
      </c>
      <c r="D11" s="12">
        <v>161</v>
      </c>
      <c r="E11" s="9"/>
      <c r="F11" s="110"/>
      <c r="G11" s="7"/>
      <c r="H11" s="7"/>
      <c r="I11" s="7"/>
      <c r="J11" s="17"/>
      <c r="K11" s="7"/>
      <c r="L11" s="7"/>
      <c r="M11" s="7"/>
      <c r="N11" s="7"/>
    </row>
    <row r="12" spans="1:19" ht="15.75">
      <c r="A12" s="51" t="s">
        <v>9</v>
      </c>
      <c r="B12" s="97" t="s">
        <v>1531</v>
      </c>
      <c r="C12" s="94" t="s">
        <v>1277</v>
      </c>
      <c r="D12" s="12">
        <v>0</v>
      </c>
      <c r="E12" s="9"/>
      <c r="F12" s="113"/>
      <c r="G12" s="7"/>
      <c r="H12" s="7"/>
      <c r="I12" s="7"/>
      <c r="J12" s="17"/>
      <c r="K12" s="7"/>
      <c r="L12" s="7"/>
      <c r="M12" s="7"/>
      <c r="N12" s="7"/>
    </row>
    <row r="13" spans="1:19">
      <c r="A13" s="52"/>
      <c r="B13" s="7" t="s">
        <v>1257</v>
      </c>
      <c r="C13" s="1" t="s">
        <v>1599</v>
      </c>
      <c r="D13" s="12">
        <v>79.989999999999995</v>
      </c>
      <c r="E13" s="1"/>
      <c r="F13" s="108"/>
      <c r="G13" s="1"/>
      <c r="H13" s="1"/>
      <c r="I13" s="1"/>
      <c r="J13" s="18"/>
      <c r="K13" s="1"/>
      <c r="L13" s="1"/>
      <c r="M13" s="1"/>
      <c r="N13" s="1"/>
    </row>
    <row r="14" spans="1:19">
      <c r="A14" s="52"/>
      <c r="B14" s="1"/>
      <c r="C14" s="1"/>
      <c r="D14" s="12">
        <v>0</v>
      </c>
      <c r="E14" s="1"/>
      <c r="F14" s="108"/>
      <c r="G14" s="1"/>
      <c r="H14" s="68"/>
      <c r="I14" s="1"/>
      <c r="J14" s="18"/>
      <c r="K14" s="98"/>
      <c r="L14" s="1"/>
      <c r="M14" s="1"/>
      <c r="N14" s="1"/>
      <c r="S14" s="104"/>
    </row>
    <row r="15" spans="1:19">
      <c r="A15" s="52"/>
      <c r="B15" s="1"/>
      <c r="C15" s="22" t="s">
        <v>37</v>
      </c>
      <c r="D15" s="1"/>
      <c r="E15" s="1"/>
      <c r="F15" s="108"/>
      <c r="G15" s="1"/>
      <c r="H15" s="1"/>
      <c r="I15" s="1"/>
      <c r="J15" s="18"/>
      <c r="K15" s="1"/>
      <c r="L15" s="1"/>
      <c r="M15" s="1"/>
      <c r="N15" s="1"/>
    </row>
    <row r="16" spans="1:19" ht="16.5">
      <c r="A16" s="52"/>
      <c r="B16" s="1" t="s">
        <v>1255</v>
      </c>
      <c r="C16" s="88" t="s">
        <v>41</v>
      </c>
      <c r="D16" s="12">
        <v>200</v>
      </c>
      <c r="E16" s="1"/>
      <c r="F16" s="111"/>
      <c r="G16" s="1"/>
      <c r="H16" s="1"/>
      <c r="I16" s="1"/>
      <c r="J16" s="18"/>
      <c r="K16" s="1"/>
      <c r="L16" s="1"/>
      <c r="M16" s="1"/>
      <c r="N16" s="1"/>
    </row>
    <row r="17" spans="1:14">
      <c r="A17" s="53" t="s">
        <v>9</v>
      </c>
      <c r="B17" s="1" t="s">
        <v>45</v>
      </c>
      <c r="C17" s="1" t="s">
        <v>258</v>
      </c>
      <c r="D17" s="12">
        <v>0</v>
      </c>
      <c r="E17" s="1"/>
      <c r="F17" s="108"/>
      <c r="G17" s="1"/>
      <c r="H17" s="1"/>
      <c r="I17" s="1"/>
      <c r="J17" s="18"/>
      <c r="K17" s="1"/>
      <c r="L17" s="1"/>
      <c r="M17" s="1"/>
      <c r="N17" s="1"/>
    </row>
    <row r="18" spans="1:14">
      <c r="A18" s="53" t="s">
        <v>9</v>
      </c>
      <c r="B18" s="1" t="s">
        <v>45</v>
      </c>
      <c r="C18" s="1" t="s">
        <v>1024</v>
      </c>
      <c r="D18" s="12">
        <v>0</v>
      </c>
      <c r="E18" s="1"/>
      <c r="F18" s="110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48</v>
      </c>
      <c r="C19" s="1" t="s">
        <v>49</v>
      </c>
      <c r="D19" s="12">
        <v>0</v>
      </c>
      <c r="E19" s="1"/>
      <c r="F19" s="110"/>
      <c r="H19" s="1"/>
      <c r="I19" s="1"/>
      <c r="J19" s="18"/>
      <c r="K19" s="1"/>
      <c r="L19" s="1"/>
      <c r="M19" s="1"/>
      <c r="N19" s="1"/>
    </row>
    <row r="20" spans="1:14">
      <c r="A20" s="53"/>
      <c r="B20" s="1" t="s">
        <v>27</v>
      </c>
      <c r="C20" s="1" t="s">
        <v>43</v>
      </c>
      <c r="D20" s="12">
        <v>0</v>
      </c>
      <c r="E20" s="1"/>
      <c r="F20" s="110"/>
      <c r="G20" s="1"/>
      <c r="H20" s="1"/>
      <c r="I20" s="1"/>
      <c r="J20" s="18"/>
      <c r="K20" s="1"/>
      <c r="L20" s="1"/>
      <c r="M20" s="1"/>
      <c r="N20" s="1"/>
    </row>
    <row r="21" spans="1:14" ht="18">
      <c r="A21" s="53"/>
      <c r="B21" s="1" t="s">
        <v>51</v>
      </c>
      <c r="C21" s="1" t="s">
        <v>1312</v>
      </c>
      <c r="D21" s="12">
        <v>0</v>
      </c>
      <c r="E21" s="1"/>
      <c r="F21" s="101"/>
      <c r="G21" s="1"/>
      <c r="H21" s="1"/>
      <c r="I21" s="1"/>
      <c r="J21" s="18"/>
      <c r="K21" s="1"/>
      <c r="L21" s="48"/>
      <c r="M21" s="1"/>
      <c r="N21" s="1"/>
    </row>
    <row r="22" spans="1:14">
      <c r="A22" s="53" t="s">
        <v>9</v>
      </c>
      <c r="B22" s="1" t="s">
        <v>51</v>
      </c>
      <c r="C22" s="1" t="s">
        <v>932</v>
      </c>
      <c r="D22">
        <v>0</v>
      </c>
      <c r="E22" s="1"/>
      <c r="F22" s="110"/>
      <c r="G22" s="1"/>
      <c r="H22" s="1"/>
      <c r="I22" s="1"/>
      <c r="J22" s="18"/>
      <c r="K22" s="1"/>
      <c r="L22" s="70"/>
      <c r="M22" s="1"/>
      <c r="N22" s="1"/>
    </row>
    <row r="23" spans="1:14">
      <c r="A23" s="53" t="s">
        <v>9</v>
      </c>
      <c r="B23" s="1" t="s">
        <v>27</v>
      </c>
      <c r="C23" s="1" t="s">
        <v>905</v>
      </c>
      <c r="D23">
        <v>0</v>
      </c>
      <c r="E23" s="1"/>
      <c r="F23" s="108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38</v>
      </c>
      <c r="C24" s="1" t="s">
        <v>39</v>
      </c>
      <c r="D24" s="23">
        <v>0</v>
      </c>
      <c r="E24" s="1"/>
      <c r="F24" s="110"/>
      <c r="G24" s="1"/>
      <c r="H24" s="1"/>
      <c r="I24" s="1"/>
      <c r="J24" s="18"/>
      <c r="K24" s="1"/>
      <c r="L24" s="1"/>
      <c r="M24" s="1"/>
      <c r="N24" s="1"/>
    </row>
    <row r="25" spans="1:14" ht="18">
      <c r="A25" s="53"/>
      <c r="B25" s="1" t="s">
        <v>34</v>
      </c>
      <c r="C25" s="1" t="s">
        <v>1313</v>
      </c>
      <c r="D25" s="12">
        <v>0</v>
      </c>
      <c r="E25" s="1"/>
      <c r="F25" s="101"/>
      <c r="G25" s="1"/>
      <c r="H25" s="1"/>
      <c r="I25" s="1"/>
      <c r="J25" s="18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06"/>
      <c r="G26" s="1"/>
      <c r="H26" s="1"/>
      <c r="I26" s="1"/>
      <c r="J26" s="18"/>
      <c r="K26" s="18"/>
      <c r="L26" s="1"/>
      <c r="M26" s="1"/>
      <c r="N26" s="1"/>
    </row>
    <row r="27" spans="1:14">
      <c r="A27" s="1"/>
      <c r="B27" s="1"/>
      <c r="C27" s="22" t="s">
        <v>56</v>
      </c>
      <c r="D27" s="28">
        <f>SUM(D3:D18,D20,D21,D24,D25,D22,D23)</f>
        <v>2978.0499999999997</v>
      </c>
      <c r="E27" s="1"/>
      <c r="F27" s="108"/>
      <c r="G27" s="18"/>
      <c r="H27" s="1"/>
      <c r="I27" s="12"/>
      <c r="J27" s="18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108"/>
      <c r="G28" s="1"/>
      <c r="H28" s="1"/>
      <c r="I28" s="91"/>
      <c r="J28" s="18"/>
      <c r="K28" s="1"/>
      <c r="L28" s="1"/>
      <c r="M28" s="1"/>
      <c r="N28" s="1"/>
    </row>
    <row r="29" spans="1:14">
      <c r="A29" s="6"/>
      <c r="B29" s="29"/>
      <c r="C29" s="29" t="s">
        <v>58</v>
      </c>
      <c r="D29" s="30">
        <v>0</v>
      </c>
      <c r="E29" s="30"/>
      <c r="F29" s="108"/>
      <c r="G29" s="29"/>
      <c r="H29" s="29"/>
      <c r="I29" s="29"/>
      <c r="J29" s="31"/>
      <c r="K29" s="29"/>
      <c r="L29" s="29"/>
      <c r="M29" s="29"/>
      <c r="N29" s="29"/>
    </row>
    <row r="30" spans="1:14">
      <c r="A30" s="6"/>
      <c r="B30" s="29"/>
      <c r="C30" s="29" t="s">
        <v>59</v>
      </c>
      <c r="D30" s="1">
        <v>11181</v>
      </c>
      <c r="E30" s="30"/>
      <c r="F30" s="108"/>
      <c r="G30" s="29"/>
      <c r="H30" s="29"/>
      <c r="I30" s="29"/>
      <c r="J30" s="31"/>
      <c r="K30" s="31"/>
      <c r="L30" s="29"/>
      <c r="M30" s="29"/>
      <c r="N30" s="29"/>
    </row>
    <row r="31" spans="1:14">
      <c r="A31" s="1"/>
      <c r="B31" s="1"/>
      <c r="C31" s="1" t="s">
        <v>60</v>
      </c>
      <c r="D31" s="32">
        <f>(D30+D29)-D27</f>
        <v>8202.9500000000007</v>
      </c>
      <c r="E31" s="32"/>
      <c r="F31" s="108"/>
      <c r="G31" s="1"/>
      <c r="H31" s="1"/>
      <c r="I31" s="1"/>
      <c r="J31" s="18"/>
      <c r="K31" s="1"/>
      <c r="L31" s="1"/>
      <c r="M31" s="1"/>
      <c r="N31" s="1"/>
    </row>
    <row r="32" spans="1:14">
      <c r="B32" s="1"/>
      <c r="C32" s="1"/>
      <c r="D32" s="1"/>
      <c r="E32" s="1"/>
      <c r="F32" s="109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33"/>
      <c r="D33" s="12"/>
      <c r="E33" s="12"/>
      <c r="F33" s="109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2">
        <f>D31/4</f>
        <v>2050.7375000000002</v>
      </c>
      <c r="D34" s="12" t="s">
        <v>1363</v>
      </c>
      <c r="E34" s="12"/>
      <c r="F34" s="109"/>
      <c r="G34" s="12"/>
      <c r="H34" s="12"/>
      <c r="I34" s="12"/>
      <c r="J34" s="18"/>
      <c r="K34" s="1"/>
      <c r="L34" s="1"/>
      <c r="M34" s="1"/>
      <c r="N34" s="1"/>
    </row>
    <row r="35" spans="2:14">
      <c r="B35" s="1"/>
      <c r="C35" s="1"/>
      <c r="D35" s="1"/>
      <c r="E35" s="1"/>
      <c r="F35" s="61"/>
      <c r="G35" s="1"/>
      <c r="H35" s="1"/>
      <c r="I35" s="1"/>
      <c r="J35" s="18"/>
      <c r="K35" s="91"/>
      <c r="L35" s="1"/>
      <c r="M35" s="1"/>
      <c r="N35" s="1"/>
    </row>
    <row r="36" spans="2:14">
      <c r="K36" s="92"/>
    </row>
    <row r="38" spans="2:14">
      <c r="B38" s="1"/>
      <c r="C38" s="34"/>
      <c r="D38" s="12"/>
      <c r="E38" s="1"/>
      <c r="F38" s="61"/>
      <c r="G38" s="1"/>
      <c r="H38" s="1"/>
      <c r="I38" s="1"/>
      <c r="J38" s="18"/>
      <c r="K38" s="1"/>
      <c r="L38" s="1"/>
      <c r="M38" s="1"/>
      <c r="N38" s="1"/>
    </row>
    <row r="39" spans="2:14">
      <c r="B39" s="1"/>
      <c r="C39" s="1"/>
      <c r="D39" s="12"/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/>
      <c r="D40" s="12"/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32"/>
      <c r="D41" s="12"/>
      <c r="E41" s="1"/>
      <c r="F41" s="61"/>
      <c r="G41" s="1"/>
      <c r="H41" s="1"/>
      <c r="I41" s="1"/>
      <c r="J41" s="18"/>
      <c r="K41" s="1"/>
      <c r="L41" s="1"/>
      <c r="M41" s="1"/>
      <c r="N41" s="1"/>
    </row>
    <row r="43" spans="2:14">
      <c r="B43" s="1"/>
      <c r="C43" s="1"/>
      <c r="D43" s="1"/>
      <c r="E43" s="1"/>
      <c r="F43" s="65"/>
      <c r="G43" s="1"/>
      <c r="H43" s="1"/>
      <c r="I43" s="1"/>
      <c r="J43" s="18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BF3C-B0A7-4958-A9D1-7EFB9E83917C}">
  <dimension ref="A1:N48"/>
  <sheetViews>
    <sheetView workbookViewId="0">
      <selection activeCell="D8" sqref="D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0" customWidth="1"/>
    <col min="7" max="7" width="19" customWidth="1"/>
    <col min="8" max="8" width="8.7109375" customWidth="1"/>
    <col min="9" max="9" width="16.85546875" customWidth="1"/>
    <col min="10" max="10" width="20.85546875" style="57" customWidth="1"/>
    <col min="11" max="1025" width="8.7109375" customWidth="1"/>
  </cols>
  <sheetData>
    <row r="1" spans="1:14" ht="20.25">
      <c r="A1" s="87" t="s">
        <v>1362</v>
      </c>
      <c r="B1" s="86"/>
      <c r="C1" s="86"/>
      <c r="D1" s="86"/>
      <c r="E1" s="1"/>
      <c r="F1" s="61"/>
      <c r="G1" s="1"/>
      <c r="H1" s="1"/>
      <c r="I1" s="1"/>
      <c r="J1" s="18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62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1"/>
      <c r="B3" s="7" t="s">
        <v>6</v>
      </c>
      <c r="C3" s="1" t="s">
        <v>359</v>
      </c>
      <c r="D3" s="8">
        <v>1178.45</v>
      </c>
      <c r="E3" s="9"/>
      <c r="F3" s="73"/>
      <c r="G3" s="11"/>
      <c r="H3" s="11"/>
      <c r="I3" s="11"/>
      <c r="J3" s="58"/>
      <c r="K3" s="11"/>
      <c r="L3" s="11"/>
      <c r="M3" s="11"/>
      <c r="N3" s="11"/>
    </row>
    <row r="4" spans="1:14" ht="15.75">
      <c r="A4" s="51"/>
      <c r="B4" s="7" t="s">
        <v>10</v>
      </c>
      <c r="C4" s="1" t="s">
        <v>13</v>
      </c>
      <c r="D4" s="12">
        <v>234</v>
      </c>
      <c r="E4" s="9"/>
      <c r="F4" s="64"/>
      <c r="G4" s="11"/>
      <c r="H4" s="11"/>
      <c r="I4" s="59"/>
      <c r="J4" s="19"/>
      <c r="K4" s="11"/>
      <c r="L4" s="11"/>
      <c r="M4" s="11"/>
      <c r="N4" s="11"/>
    </row>
    <row r="5" spans="1:14">
      <c r="A5" s="51" t="s">
        <v>9</v>
      </c>
      <c r="B5" s="56" t="s">
        <v>581</v>
      </c>
      <c r="C5" s="1" t="s">
        <v>747</v>
      </c>
      <c r="D5" s="12">
        <v>20</v>
      </c>
      <c r="E5" s="9"/>
      <c r="F5" s="63"/>
      <c r="G5" s="16"/>
      <c r="H5" s="7"/>
      <c r="I5" s="7"/>
      <c r="J5" s="17"/>
      <c r="K5" s="7"/>
      <c r="L5" s="7"/>
      <c r="M5" s="7"/>
      <c r="N5" s="7"/>
    </row>
    <row r="6" spans="1:14" ht="15.75">
      <c r="A6" s="51"/>
      <c r="B6" s="56" t="s">
        <v>303</v>
      </c>
      <c r="C6" s="1" t="s">
        <v>767</v>
      </c>
      <c r="D6" s="12">
        <v>0</v>
      </c>
      <c r="E6" s="9"/>
      <c r="F6" s="81"/>
      <c r="G6" s="1"/>
      <c r="H6" s="1"/>
      <c r="I6" s="1"/>
      <c r="J6" s="18"/>
      <c r="K6" s="1"/>
      <c r="L6" s="1"/>
      <c r="M6" s="1"/>
      <c r="N6" s="1"/>
    </row>
    <row r="7" spans="1:14">
      <c r="A7" s="51" t="s">
        <v>9</v>
      </c>
      <c r="B7" s="7" t="s">
        <v>155</v>
      </c>
      <c r="C7" s="1" t="s">
        <v>16</v>
      </c>
      <c r="D7" s="12">
        <v>121</v>
      </c>
      <c r="E7" s="12"/>
      <c r="F7" s="82"/>
      <c r="H7" s="7"/>
      <c r="I7" s="7"/>
      <c r="J7" s="17"/>
      <c r="K7" s="7"/>
      <c r="L7" s="7"/>
      <c r="M7" s="7"/>
      <c r="N7" s="7"/>
    </row>
    <row r="8" spans="1:14">
      <c r="A8" s="51"/>
      <c r="B8" s="7" t="s">
        <v>21</v>
      </c>
      <c r="C8" s="1" t="s">
        <v>23</v>
      </c>
      <c r="D8" s="12">
        <v>545.78</v>
      </c>
      <c r="E8" s="9"/>
      <c r="F8" s="65"/>
      <c r="H8" s="11"/>
      <c r="I8" s="11"/>
      <c r="J8" s="19"/>
      <c r="K8" s="11"/>
      <c r="L8" s="11"/>
      <c r="M8" s="11"/>
      <c r="N8" s="11"/>
    </row>
    <row r="9" spans="1:14">
      <c r="B9" s="7" t="s">
        <v>21</v>
      </c>
      <c r="C9" s="1" t="s">
        <v>25</v>
      </c>
      <c r="D9" s="12">
        <v>30.25</v>
      </c>
      <c r="E9" s="16"/>
      <c r="G9" s="11"/>
      <c r="H9" s="11"/>
      <c r="I9" s="11"/>
      <c r="J9" s="19"/>
      <c r="K9" s="11"/>
      <c r="L9" s="11"/>
      <c r="M9" s="11"/>
      <c r="N9" s="11"/>
    </row>
    <row r="10" spans="1:14">
      <c r="A10" s="51"/>
      <c r="B10" s="7" t="s">
        <v>31</v>
      </c>
      <c r="C10" s="1" t="s">
        <v>1305</v>
      </c>
      <c r="D10" s="12">
        <v>64.099999999999994</v>
      </c>
      <c r="E10" s="9"/>
      <c r="F10" s="83"/>
      <c r="G10" s="20"/>
      <c r="H10" s="11"/>
      <c r="I10" s="11"/>
      <c r="J10" s="19"/>
      <c r="K10" s="11"/>
      <c r="L10" s="11"/>
      <c r="M10" s="11"/>
      <c r="N10" s="11"/>
    </row>
    <row r="11" spans="1:14">
      <c r="A11" s="51"/>
      <c r="B11" s="7" t="s">
        <v>863</v>
      </c>
      <c r="C11" s="1" t="s">
        <v>548</v>
      </c>
      <c r="D11" s="12">
        <v>397.43</v>
      </c>
      <c r="E11" s="12"/>
      <c r="F11" s="65"/>
      <c r="G11" s="35"/>
      <c r="H11" s="1"/>
      <c r="I11" s="1"/>
      <c r="J11" s="18"/>
      <c r="K11" s="1"/>
      <c r="L11" s="1"/>
      <c r="M11" s="1"/>
      <c r="N11" s="1"/>
    </row>
    <row r="12" spans="1:14">
      <c r="A12" s="51"/>
      <c r="B12" s="7" t="s">
        <v>367</v>
      </c>
      <c r="C12" s="1" t="s">
        <v>35</v>
      </c>
      <c r="D12" s="12">
        <v>161</v>
      </c>
      <c r="E12" s="9"/>
      <c r="F12" s="65"/>
      <c r="G12" s="7"/>
      <c r="H12" s="7"/>
      <c r="I12" s="7"/>
      <c r="J12" s="17"/>
      <c r="K12" s="7"/>
      <c r="L12" s="7"/>
      <c r="M12" s="7"/>
      <c r="N12" s="7"/>
    </row>
    <row r="13" spans="1:14">
      <c r="A13" s="51" t="s">
        <v>9</v>
      </c>
      <c r="B13" s="77">
        <v>45166</v>
      </c>
      <c r="C13" s="1" t="s">
        <v>1277</v>
      </c>
      <c r="D13" s="12">
        <v>0</v>
      </c>
      <c r="E13" s="9"/>
      <c r="F13" s="65"/>
      <c r="G13" s="7"/>
      <c r="H13" s="7"/>
      <c r="I13" s="7"/>
      <c r="J13" s="17"/>
      <c r="K13" s="7"/>
      <c r="L13" s="7"/>
      <c r="M13" s="7"/>
      <c r="N13" s="7"/>
    </row>
    <row r="14" spans="1:14">
      <c r="A14" s="52"/>
      <c r="B14" s="7" t="s">
        <v>1257</v>
      </c>
      <c r="C14" s="1" t="s">
        <v>1254</v>
      </c>
      <c r="D14" s="12">
        <v>79.989999999999995</v>
      </c>
      <c r="E14" s="1"/>
      <c r="F14" s="65"/>
      <c r="G14" s="1"/>
      <c r="H14" s="1"/>
      <c r="I14" s="1"/>
      <c r="J14" s="18"/>
      <c r="K14" s="1"/>
      <c r="L14" s="1"/>
      <c r="M14" s="1"/>
      <c r="N14" s="1"/>
    </row>
    <row r="15" spans="1:14">
      <c r="A15" s="52"/>
      <c r="B15" s="1"/>
      <c r="C15" s="1"/>
      <c r="D15" s="12">
        <v>0</v>
      </c>
      <c r="E15" s="1"/>
      <c r="F15" s="65"/>
      <c r="G15" s="1"/>
      <c r="H15" s="68"/>
      <c r="I15" s="1"/>
      <c r="J15" s="18"/>
      <c r="K15" s="1"/>
      <c r="L15" s="1"/>
      <c r="M15" s="1"/>
      <c r="N15" s="1"/>
    </row>
    <row r="16" spans="1:14">
      <c r="A16" s="52"/>
      <c r="B16" s="1"/>
      <c r="C16" s="22" t="s">
        <v>37</v>
      </c>
      <c r="D16" s="1"/>
      <c r="E16" s="1"/>
      <c r="F16" s="65"/>
      <c r="G16" s="1"/>
      <c r="H16" s="1"/>
      <c r="I16" s="1"/>
      <c r="J16" s="18"/>
      <c r="K16" s="1"/>
      <c r="L16" s="1"/>
      <c r="M16" s="1"/>
      <c r="N16" s="1"/>
    </row>
    <row r="17" spans="1:14" ht="16.5">
      <c r="A17" s="52"/>
      <c r="B17" s="1" t="s">
        <v>1255</v>
      </c>
      <c r="C17" s="88" t="s">
        <v>41</v>
      </c>
      <c r="D17" s="12">
        <f>D5</f>
        <v>20</v>
      </c>
      <c r="E17" s="1"/>
      <c r="F17" s="90"/>
      <c r="G17" s="1"/>
      <c r="H17" s="1"/>
      <c r="I17" s="1"/>
      <c r="J17" s="18"/>
      <c r="K17" s="1"/>
      <c r="L17" s="1"/>
      <c r="M17" s="1"/>
      <c r="N17" s="1"/>
    </row>
    <row r="18" spans="1:14">
      <c r="A18" s="51" t="s">
        <v>9</v>
      </c>
      <c r="B18" s="1" t="s">
        <v>45</v>
      </c>
      <c r="C18" s="1" t="s">
        <v>258</v>
      </c>
      <c r="D18" s="12">
        <v>0</v>
      </c>
      <c r="E18" s="1"/>
      <c r="F18" s="65"/>
      <c r="G18" s="1"/>
      <c r="H18" s="1"/>
      <c r="I18" s="1"/>
      <c r="J18" s="18"/>
      <c r="K18" s="1"/>
      <c r="L18" s="1"/>
      <c r="M18" s="1"/>
      <c r="N18" s="1"/>
    </row>
    <row r="19" spans="1:14">
      <c r="A19" s="53" t="s">
        <v>9</v>
      </c>
      <c r="B19" s="1" t="s">
        <v>45</v>
      </c>
      <c r="C19" s="1" t="s">
        <v>1024</v>
      </c>
      <c r="D19" s="12">
        <v>0</v>
      </c>
      <c r="E19" s="1"/>
      <c r="F19" s="83"/>
      <c r="G19" s="1"/>
      <c r="H19" s="1"/>
      <c r="I19" s="1"/>
      <c r="J19" s="18"/>
      <c r="K19" s="1"/>
      <c r="L19" s="1"/>
      <c r="M19" s="1"/>
      <c r="N19" s="1"/>
    </row>
    <row r="20" spans="1:14">
      <c r="A20" s="53" t="s">
        <v>9</v>
      </c>
      <c r="B20" s="1" t="s">
        <v>48</v>
      </c>
      <c r="C20" s="1" t="s">
        <v>49</v>
      </c>
      <c r="D20" s="12">
        <v>0</v>
      </c>
      <c r="E20" s="1"/>
      <c r="F20" s="74"/>
      <c r="H20" s="1"/>
      <c r="I20" s="1"/>
      <c r="J20" s="18"/>
      <c r="K20" s="1"/>
      <c r="L20" s="1"/>
      <c r="M20" s="1"/>
      <c r="N20" s="1"/>
    </row>
    <row r="21" spans="1:14" ht="15.75">
      <c r="A21" s="53"/>
      <c r="B21" s="1" t="s">
        <v>27</v>
      </c>
      <c r="C21" s="1" t="s">
        <v>43</v>
      </c>
      <c r="D21" s="12">
        <v>0</v>
      </c>
      <c r="E21" s="1"/>
      <c r="F21" s="89"/>
      <c r="G21" s="1"/>
      <c r="H21" s="1"/>
      <c r="I21" s="1"/>
      <c r="J21" s="18"/>
      <c r="K21" s="1"/>
      <c r="L21" s="1"/>
      <c r="M21" s="1"/>
      <c r="N21" s="1"/>
    </row>
    <row r="22" spans="1:14">
      <c r="A22" s="53" t="s">
        <v>9</v>
      </c>
      <c r="B22" s="1" t="s">
        <v>51</v>
      </c>
      <c r="C22" s="1" t="s">
        <v>1312</v>
      </c>
      <c r="D22" s="12">
        <v>0</v>
      </c>
      <c r="E22" s="1"/>
      <c r="F22" s="65"/>
      <c r="G22" s="1"/>
      <c r="H22" s="1"/>
      <c r="I22" s="1"/>
      <c r="J22" s="18"/>
      <c r="K22" s="1"/>
      <c r="L22" s="48"/>
      <c r="M22" s="1"/>
      <c r="N22" s="1"/>
    </row>
    <row r="23" spans="1:14">
      <c r="A23" s="53" t="s">
        <v>9</v>
      </c>
      <c r="B23" s="1" t="s">
        <v>51</v>
      </c>
      <c r="C23" s="1" t="s">
        <v>932</v>
      </c>
      <c r="D23">
        <v>0</v>
      </c>
      <c r="E23" s="1"/>
      <c r="F23" s="65"/>
      <c r="G23" s="1"/>
      <c r="H23" s="1"/>
      <c r="I23" s="1"/>
      <c r="J23" s="18"/>
      <c r="K23" s="1"/>
      <c r="L23" s="70"/>
      <c r="M23" s="1"/>
      <c r="N23" s="1"/>
    </row>
    <row r="24" spans="1:14">
      <c r="A24" s="53" t="s">
        <v>9</v>
      </c>
      <c r="B24" s="1" t="s">
        <v>27</v>
      </c>
      <c r="C24" s="1" t="s">
        <v>905</v>
      </c>
      <c r="D24">
        <v>0</v>
      </c>
      <c r="E24" s="1"/>
      <c r="F24" s="65"/>
      <c r="G24" s="1"/>
      <c r="H24" s="1"/>
      <c r="I24" s="1"/>
      <c r="J24" s="18"/>
      <c r="K24" s="1"/>
      <c r="L24" s="70"/>
      <c r="M24" s="1"/>
      <c r="N24" s="1"/>
    </row>
    <row r="25" spans="1:14">
      <c r="A25" s="53" t="s">
        <v>9</v>
      </c>
      <c r="B25" s="1" t="s">
        <v>38</v>
      </c>
      <c r="C25" s="1" t="s">
        <v>39</v>
      </c>
      <c r="D25" s="23">
        <v>0</v>
      </c>
      <c r="E25" s="1"/>
      <c r="F25" s="65"/>
      <c r="G25" s="1"/>
      <c r="H25" s="1"/>
      <c r="I25" s="1"/>
      <c r="J25" s="18"/>
      <c r="K25" s="1"/>
      <c r="L25" s="1"/>
      <c r="M25" s="1"/>
      <c r="N25" s="1"/>
    </row>
    <row r="26" spans="1:14">
      <c r="A26" s="53" t="s">
        <v>9</v>
      </c>
      <c r="B26" s="1" t="s">
        <v>34</v>
      </c>
      <c r="C26" s="1" t="s">
        <v>1313</v>
      </c>
      <c r="D26" s="12">
        <v>0</v>
      </c>
      <c r="E26" s="1"/>
      <c r="F26" s="65"/>
      <c r="G26" s="1"/>
      <c r="H26" s="1"/>
      <c r="I26" s="1"/>
      <c r="J26" s="18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65"/>
      <c r="G27" s="1"/>
      <c r="H27" s="1"/>
      <c r="I27" s="1"/>
      <c r="J27" s="18"/>
      <c r="K27" s="18"/>
      <c r="L27" s="1"/>
      <c r="M27" s="1"/>
      <c r="N27" s="1"/>
    </row>
    <row r="28" spans="1:14">
      <c r="A28" s="1"/>
      <c r="B28" s="1"/>
      <c r="C28" s="22" t="s">
        <v>56</v>
      </c>
      <c r="D28" s="28">
        <f>SUM(D3:D19,D21,D22,D25,D26,D23,D24)</f>
        <v>2851.9999999999995</v>
      </c>
      <c r="E28" s="1"/>
      <c r="F28" s="65"/>
      <c r="G28" s="1"/>
      <c r="H28" s="1"/>
      <c r="I28" s="12"/>
      <c r="J28" s="18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65"/>
      <c r="G29" s="1"/>
      <c r="H29" s="1"/>
      <c r="I29" s="1"/>
      <c r="J29" s="18"/>
      <c r="K29" s="1"/>
      <c r="L29" s="1"/>
      <c r="M29" s="1"/>
      <c r="N29" s="1"/>
    </row>
    <row r="30" spans="1:14">
      <c r="A30" s="6"/>
      <c r="B30" s="29"/>
      <c r="C30" s="29" t="s">
        <v>58</v>
      </c>
      <c r="D30" s="30">
        <v>0</v>
      </c>
      <c r="E30" s="30"/>
      <c r="F30" s="65"/>
      <c r="G30" s="29"/>
      <c r="H30" s="29"/>
      <c r="I30" s="29"/>
      <c r="J30" s="31"/>
      <c r="K30" s="29"/>
      <c r="L30" s="29"/>
      <c r="M30" s="29"/>
      <c r="N30" s="29"/>
    </row>
    <row r="31" spans="1:14">
      <c r="A31" s="6"/>
      <c r="B31" s="29"/>
      <c r="C31" s="29" t="s">
        <v>59</v>
      </c>
      <c r="D31" s="1">
        <v>6161</v>
      </c>
      <c r="E31" s="30"/>
      <c r="F31" s="65"/>
      <c r="G31" s="29"/>
      <c r="H31" s="29"/>
      <c r="I31" s="29"/>
      <c r="J31" s="31"/>
      <c r="K31" s="29"/>
      <c r="L31" s="29"/>
      <c r="M31" s="29"/>
      <c r="N31" s="29"/>
    </row>
    <row r="32" spans="1:14">
      <c r="A32" s="1"/>
      <c r="B32" s="1"/>
      <c r="C32" s="1" t="s">
        <v>60</v>
      </c>
      <c r="D32" s="32">
        <f>(D31+D30)-D28</f>
        <v>3309.0000000000005</v>
      </c>
      <c r="E32" s="32"/>
      <c r="F32" s="65"/>
      <c r="G32" s="1"/>
      <c r="H32" s="1"/>
      <c r="I32" s="1"/>
      <c r="J32" s="18"/>
      <c r="K32" s="1"/>
      <c r="L32" s="1"/>
      <c r="M32" s="1"/>
      <c r="N32" s="1"/>
    </row>
    <row r="33" spans="2:14">
      <c r="B33" s="1"/>
      <c r="C33" s="1"/>
      <c r="D33" s="1"/>
      <c r="E33" s="1"/>
      <c r="F33" s="61"/>
      <c r="G33" s="1"/>
      <c r="H33" s="1"/>
      <c r="I33" s="1"/>
      <c r="J33" s="18"/>
      <c r="K33" s="1"/>
      <c r="L33" s="1"/>
      <c r="M33" s="1"/>
      <c r="N33" s="1"/>
    </row>
    <row r="34" spans="2:14">
      <c r="B34" s="1"/>
      <c r="C34" s="33"/>
      <c r="D34" s="12"/>
      <c r="E34" s="12"/>
      <c r="F34" s="61"/>
      <c r="G34" s="1"/>
      <c r="H34" s="1"/>
      <c r="I34" s="1"/>
      <c r="J34" s="18"/>
      <c r="K34" s="1"/>
      <c r="L34" s="1"/>
      <c r="M34" s="1"/>
      <c r="N34" s="1"/>
    </row>
    <row r="35" spans="2:14">
      <c r="B35" s="1"/>
      <c r="C35" s="32">
        <f>D32/4</f>
        <v>827.25000000000011</v>
      </c>
      <c r="D35" s="12"/>
      <c r="E35" s="12"/>
      <c r="F35" s="61"/>
      <c r="G35" s="12"/>
      <c r="H35" s="12"/>
      <c r="I35" s="12"/>
      <c r="J35" s="18"/>
      <c r="K35" s="1"/>
      <c r="L35" s="1"/>
      <c r="M35" s="1"/>
      <c r="N35" s="1"/>
    </row>
    <row r="36" spans="2:14">
      <c r="B36" s="1"/>
      <c r="C36" s="1"/>
      <c r="D36" s="1"/>
      <c r="E36" s="1"/>
      <c r="F36" s="61"/>
      <c r="G36" s="1"/>
      <c r="H36" s="1"/>
      <c r="I36" s="1"/>
      <c r="J36" s="18"/>
      <c r="K36" s="1"/>
      <c r="L36" s="1"/>
      <c r="M36" s="1"/>
      <c r="N36" s="1"/>
    </row>
    <row r="37" spans="2:14">
      <c r="F37" s="66"/>
    </row>
    <row r="39" spans="2:14">
      <c r="B39" s="1"/>
      <c r="C39" s="34">
        <v>300</v>
      </c>
      <c r="D39" s="12" t="s">
        <v>61</v>
      </c>
      <c r="E39" s="1"/>
      <c r="F39" s="61"/>
      <c r="G39" s="1"/>
      <c r="H39" s="1"/>
      <c r="I39" s="1"/>
      <c r="J39" s="18"/>
      <c r="K39" s="1"/>
      <c r="L39" s="1"/>
      <c r="M39" s="1"/>
      <c r="N39" s="1"/>
    </row>
    <row r="40" spans="2:14">
      <c r="B40" s="1"/>
      <c r="C40" s="1">
        <v>75</v>
      </c>
      <c r="D40" s="12" t="s">
        <v>62</v>
      </c>
      <c r="E40" s="1"/>
      <c r="F40" s="61"/>
      <c r="G40" s="1"/>
      <c r="H40" s="1"/>
      <c r="I40" s="1"/>
      <c r="J40" s="18"/>
      <c r="K40" s="1"/>
      <c r="L40" s="1"/>
      <c r="M40" s="1"/>
      <c r="N40" s="1"/>
    </row>
    <row r="41" spans="2:14">
      <c r="B41" s="1"/>
      <c r="C41" s="1"/>
      <c r="D41" s="12" t="s">
        <v>194</v>
      </c>
      <c r="E41" s="1"/>
      <c r="F41" s="61"/>
      <c r="G41" s="1"/>
      <c r="H41" s="1"/>
      <c r="I41" s="1"/>
      <c r="J41" s="18"/>
      <c r="K41" s="1"/>
      <c r="L41" s="1"/>
      <c r="M41" s="1"/>
      <c r="N41" s="1"/>
    </row>
    <row r="42" spans="2:14">
      <c r="B42" s="1"/>
      <c r="C42" s="32">
        <f>C35-C39-C40-C41</f>
        <v>452.25000000000011</v>
      </c>
      <c r="D42" s="12" t="s">
        <v>63</v>
      </c>
      <c r="E42" s="1"/>
      <c r="F42" s="61"/>
      <c r="G42" s="1"/>
      <c r="H42" s="1"/>
      <c r="I42" s="1"/>
      <c r="J42" s="18"/>
      <c r="K42" s="1"/>
      <c r="L42" s="1"/>
      <c r="M42" s="1"/>
      <c r="N42" s="1"/>
    </row>
    <row r="44" spans="2:14">
      <c r="B44" s="1"/>
      <c r="C44" s="1"/>
      <c r="D44" s="1"/>
      <c r="E44" s="1"/>
      <c r="F44" s="65"/>
      <c r="G44" s="1"/>
      <c r="H44" s="1"/>
      <c r="I44" s="1"/>
      <c r="J44" s="18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149</vt:i4>
      </vt:variant>
    </vt:vector>
  </HeadingPairs>
  <TitlesOfParts>
    <vt:vector size="149" baseType="lpstr">
      <vt:lpstr>2014-01</vt:lpstr>
      <vt:lpstr>2014-02</vt:lpstr>
      <vt:lpstr>2014-03</vt:lpstr>
      <vt:lpstr>2014-04</vt:lpstr>
      <vt:lpstr>2014-05</vt:lpstr>
      <vt:lpstr>2014-06</vt:lpstr>
      <vt:lpstr>2014-07</vt:lpstr>
      <vt:lpstr>2014-08</vt:lpstr>
      <vt:lpstr>2014-09</vt:lpstr>
      <vt:lpstr>2014-10</vt:lpstr>
      <vt:lpstr>2014-11</vt:lpstr>
      <vt:lpstr>2014-12</vt:lpstr>
      <vt:lpstr>2015-01</vt:lpstr>
      <vt:lpstr>2015-02</vt:lpstr>
      <vt:lpstr>2015-03</vt:lpstr>
      <vt:lpstr>2015-04</vt:lpstr>
      <vt:lpstr>2015-05</vt:lpstr>
      <vt:lpstr>2015-06</vt:lpstr>
      <vt:lpstr>2015-07</vt:lpstr>
      <vt:lpstr>2015-08</vt:lpstr>
      <vt:lpstr>2015-09</vt:lpstr>
      <vt:lpstr>2015-10</vt:lpstr>
      <vt:lpstr>2015-11</vt:lpstr>
      <vt:lpstr>2015-12</vt:lpstr>
      <vt:lpstr>2016-01</vt:lpstr>
      <vt:lpstr>2016-02</vt:lpstr>
      <vt:lpstr>2016-03</vt:lpstr>
      <vt:lpstr>2016-04</vt:lpstr>
      <vt:lpstr>2016-05</vt:lpstr>
      <vt:lpstr>2016-06</vt:lpstr>
      <vt:lpstr>2016-07</vt:lpstr>
      <vt:lpstr>2016-08</vt:lpstr>
      <vt:lpstr>2016-09</vt:lpstr>
      <vt:lpstr>2016-10</vt:lpstr>
      <vt:lpstr>2016-11</vt:lpstr>
      <vt:lpstr>2016-12</vt:lpstr>
      <vt:lpstr>2017-01</vt:lpstr>
      <vt:lpstr>2017-02</vt:lpstr>
      <vt:lpstr>2017-03</vt:lpstr>
      <vt:lpstr>2017-04</vt:lpstr>
      <vt:lpstr>2017-05</vt:lpstr>
      <vt:lpstr>2017-06</vt:lpstr>
      <vt:lpstr>2017-07</vt:lpstr>
      <vt:lpstr>2017-08</vt:lpstr>
      <vt:lpstr>2017-09</vt:lpstr>
      <vt:lpstr>2017-10</vt:lpstr>
      <vt:lpstr>2017-11</vt:lpstr>
      <vt:lpstr>2017-12</vt:lpstr>
      <vt:lpstr>2018-01</vt:lpstr>
      <vt:lpstr>2018-02</vt:lpstr>
      <vt:lpstr>2018-03</vt:lpstr>
      <vt:lpstr>2018-04</vt:lpstr>
      <vt:lpstr>2018-05</vt:lpstr>
      <vt:lpstr>2018-06</vt:lpstr>
      <vt:lpstr>2018-07</vt:lpstr>
      <vt:lpstr>2018-08</vt:lpstr>
      <vt:lpstr>2018-09</vt:lpstr>
      <vt:lpstr>2018-10</vt:lpstr>
      <vt:lpstr>2018-11</vt:lpstr>
      <vt:lpstr>2018-12</vt:lpstr>
      <vt:lpstr>2019-01</vt:lpstr>
      <vt:lpstr>2019-02</vt:lpstr>
      <vt:lpstr>2019-03</vt:lpstr>
      <vt:lpstr>2019-04</vt:lpstr>
      <vt:lpstr>2019-05</vt:lpstr>
      <vt:lpstr>2019-06</vt:lpstr>
      <vt:lpstr>2019-07</vt:lpstr>
      <vt:lpstr>2019-08</vt:lpstr>
      <vt:lpstr>2019-09</vt:lpstr>
      <vt:lpstr>2019-10</vt:lpstr>
      <vt:lpstr>2019-11</vt:lpstr>
      <vt:lpstr>2019-12</vt:lpstr>
      <vt:lpstr>2020-01</vt:lpstr>
      <vt:lpstr>2020-02</vt:lpstr>
      <vt:lpstr>2020-03</vt:lpstr>
      <vt:lpstr>2020-04</vt:lpstr>
      <vt:lpstr>2020-05</vt:lpstr>
      <vt:lpstr>2020-06</vt:lpstr>
      <vt:lpstr>2020-07</vt:lpstr>
      <vt:lpstr>2020-08</vt:lpstr>
      <vt:lpstr>2020-09</vt:lpstr>
      <vt:lpstr>2020-10</vt:lpstr>
      <vt:lpstr>2020-11</vt:lpstr>
      <vt:lpstr>2020-12</vt:lpstr>
      <vt:lpstr>2021-01</vt:lpstr>
      <vt:lpstr>2021-02</vt:lpstr>
      <vt:lpstr>2021-03</vt:lpstr>
      <vt:lpstr>2021-04</vt:lpstr>
      <vt:lpstr>2021-05</vt:lpstr>
      <vt:lpstr>2021-06</vt:lpstr>
      <vt:lpstr>2021-07</vt:lpstr>
      <vt:lpstr>2021-08</vt:lpstr>
      <vt:lpstr>2021-09</vt:lpstr>
      <vt:lpstr>2021-10</vt:lpstr>
      <vt:lpstr>2012-11</vt:lpstr>
      <vt:lpstr>2021-12</vt:lpstr>
      <vt:lpstr>2022-01</vt:lpstr>
      <vt:lpstr>2022-02</vt:lpstr>
      <vt:lpstr>2022-03</vt:lpstr>
      <vt:lpstr>2022-04</vt:lpstr>
      <vt:lpstr>2022-05</vt:lpstr>
      <vt:lpstr>2022-06</vt:lpstr>
      <vt:lpstr>2022-07</vt:lpstr>
      <vt:lpstr>2022-08</vt:lpstr>
      <vt:lpstr>2022-09</vt:lpstr>
      <vt:lpstr>2022-10</vt:lpstr>
      <vt:lpstr>2022-11</vt:lpstr>
      <vt:lpstr>2022-12</vt:lpstr>
      <vt:lpstr>2023-01</vt:lpstr>
      <vt:lpstr>2023-02</vt:lpstr>
      <vt:lpstr>2023-03</vt:lpstr>
      <vt:lpstr>2023-04</vt:lpstr>
      <vt:lpstr>2023-05</vt:lpstr>
      <vt:lpstr>2023-006</vt:lpstr>
      <vt:lpstr>2023-07</vt:lpstr>
      <vt:lpstr>2023-08</vt:lpstr>
      <vt:lpstr>2023-09</vt:lpstr>
      <vt:lpstr>2023-10</vt:lpstr>
      <vt:lpstr>2023-11</vt:lpstr>
      <vt:lpstr>2023-12</vt:lpstr>
      <vt:lpstr>2024-01</vt:lpstr>
      <vt:lpstr>2024-02</vt:lpstr>
      <vt:lpstr>2024-03</vt:lpstr>
      <vt:lpstr>2024-04</vt:lpstr>
      <vt:lpstr>2024-05</vt:lpstr>
      <vt:lpstr>2024-06</vt:lpstr>
      <vt:lpstr>2024-07</vt:lpstr>
      <vt:lpstr>2024-08</vt:lpstr>
      <vt:lpstr>2024-09</vt:lpstr>
      <vt:lpstr>2024-10</vt:lpstr>
      <vt:lpstr>2024-11</vt:lpstr>
      <vt:lpstr>2024-12</vt:lpstr>
      <vt:lpstr>2025-01</vt:lpstr>
      <vt:lpstr>2025-02</vt:lpstr>
      <vt:lpstr>2025-03</vt:lpstr>
      <vt:lpstr>2025-04</vt:lpstr>
      <vt:lpstr>2025-05</vt:lpstr>
      <vt:lpstr>2025-06</vt:lpstr>
      <vt:lpstr>2025-07</vt:lpstr>
      <vt:lpstr>2025-08</vt:lpstr>
      <vt:lpstr>2025-09</vt:lpstr>
      <vt:lpstr>2025-10</vt:lpstr>
      <vt:lpstr>2025-11</vt:lpstr>
      <vt:lpstr>2025-12</vt:lpstr>
      <vt:lpstr>2026-01</vt:lpstr>
      <vt:lpstr>2026-02</vt:lpstr>
      <vt:lpstr>2026-03</vt:lpstr>
      <vt:lpstr>2026-04</vt:lpstr>
      <vt:lpstr>2023-06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</dc:creator>
  <dc:description/>
  <cp:lastModifiedBy>Rachel Betz</cp:lastModifiedBy>
  <cp:revision>2</cp:revision>
  <dcterms:created xsi:type="dcterms:W3CDTF">2013-12-14T19:56:07Z</dcterms:created>
  <dcterms:modified xsi:type="dcterms:W3CDTF">2026-03-13T10:44:07Z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